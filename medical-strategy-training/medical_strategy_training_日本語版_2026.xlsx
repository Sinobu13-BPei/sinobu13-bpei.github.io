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332d5f454026433a" /></Relationships>
</file>

<file path=xl/workbook.xml><?xml version="1.0" encoding="utf-8"?>
<x:workbook xmlns:x="http://schemas.openxmlformats.org/spreadsheetml/2006/main">
  <x:sheets>
    <x:sheet xmlns:r="http://schemas.openxmlformats.org/officeDocument/2006/relationships" name="01_使い方" sheetId="1" r:id="Rcafa10d64dc446c2"/>
    <x:sheet xmlns:r="http://schemas.openxmlformats.org/officeDocument/2006/relationships" name="02_進捗一覧" sheetId="2" r:id="Rba61c598f8c34a13"/>
    <x:sheet xmlns:r="http://schemas.openxmlformats.org/officeDocument/2006/relationships" name="03_PEST" sheetId="3" r:id="R8925949ab717442b"/>
    <x:sheet xmlns:r="http://schemas.openxmlformats.org/officeDocument/2006/relationships" name="04_5F" sheetId="4" r:id="R971e6797c07b4a81"/>
    <x:sheet xmlns:r="http://schemas.openxmlformats.org/officeDocument/2006/relationships" name="05_3C" sheetId="5" r:id="R016a03ba7f014476"/>
    <x:sheet xmlns:r="http://schemas.openxmlformats.org/officeDocument/2006/relationships" name="06_VRIO" sheetId="6" r:id="R1a636330bfdb4022"/>
    <x:sheet xmlns:r="http://schemas.openxmlformats.org/officeDocument/2006/relationships" name="07_STP" sheetId="7" r:id="R359e38b856654ad5"/>
    <x:sheet xmlns:r="http://schemas.openxmlformats.org/officeDocument/2006/relationships" name="08_4P4C" sheetId="8" r:id="Rf113a13233ca44f0"/>
    <x:sheet xmlns:r="http://schemas.openxmlformats.org/officeDocument/2006/relationships" name="09_SWOT" sheetId="9" r:id="Rd3301cdb2535460b"/>
    <x:sheet xmlns:r="http://schemas.openxmlformats.org/officeDocument/2006/relationships" name="10_KSF" sheetId="10" r:id="R5b991ebc258c4505"/>
    <x:sheet xmlns:r="http://schemas.openxmlformats.org/officeDocument/2006/relationships" name="11_戦略1枚" sheetId="11" r:id="Re1ab6d3773e74628"/>
    <x:sheet xmlns:r="http://schemas.openxmlformats.org/officeDocument/2006/relationships" name="12_年度別計画" sheetId="12" r:id="R7595993b61de48ae"/>
    <x:sheet xmlns:r="http://schemas.openxmlformats.org/officeDocument/2006/relationships" name="13_営業ファネル" sheetId="13" r:id="R7ea261aaea1c4b95"/>
    <x:sheet xmlns:r="http://schemas.openxmlformats.org/officeDocument/2006/relationships" name="14_改革チーム" sheetId="14" r:id="R9238753a787d4ca9"/>
    <x:sheet xmlns:r="http://schemas.openxmlformats.org/officeDocument/2006/relationships" name="15_RACI" sheetId="15" r:id="Rcfff33ba2e794dab"/>
    <x:sheet xmlns:r="http://schemas.openxmlformats.org/officeDocument/2006/relationships" name="16_失敗リスク" sheetId="16" r:id="R1438ccded7cf4ebd"/>
    <x:sheet xmlns:r="http://schemas.openxmlformats.org/officeDocument/2006/relationships" name="17_90日施策" sheetId="17" r:id="R8b2237c10cdf4b01"/>
    <x:sheet xmlns:r="http://schemas.openxmlformats.org/officeDocument/2006/relationships" name="18_演習" sheetId="18" r:id="R201e5b40b6fd4195"/>
    <x:sheet xmlns:r="http://schemas.openxmlformats.org/officeDocument/2006/relationships" name="19_地図と出典" sheetId="19" r:id="Re952937c538442a4"/>
    <x:sheet xmlns:r="http://schemas.openxmlformats.org/officeDocument/2006/relationships" name="20_フレーム解説" sheetId="20" r:id="R80465da5b7ad40c3"/>
    <x:sheet xmlns:r="http://schemas.openxmlformats.org/officeDocument/2006/relationships" name="21_図解ダッシュボード" sheetId="21" r:id="R8cb5633f302d466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
  </x:numFmts>
  <x:fonts count="23">
    <x:font>
      <x:sz val="11"/>
      <x:name val="Carlito"/>
    </x:font>
    <x:font>
      <x:b/>
      <x:sz val="19"/>
      <x:color rgb="FFFFFFFF"/>
      <x:name val="Carlito"/>
    </x:font>
    <x:font>
      <x:sz val="10"/>
      <x:color rgb="FF5E7685"/>
      <x:name val="Carlito"/>
    </x:font>
    <x:font>
      <x:b/>
      <x:sz val="10"/>
      <x:color rgb="FFFFFFFF"/>
      <x:name val="Carlito"/>
    </x:font>
    <x:font>
      <x:sz val="11"/>
      <x:color rgb="FF5E7685"/>
      <x:name val="Carlito"/>
    </x:font>
    <x:font>
      <x:b/>
      <x:sz val="11"/>
      <x:color rgb="FFFFFFFF"/>
      <x:name val="Carlito"/>
    </x:font>
    <x:font>
      <x:b/>
      <x:sz val="11"/>
      <x:color rgb="FF10283F"/>
      <x:name val="Carlito"/>
    </x:font>
    <x:font>
      <x:sz val="11"/>
      <x:color rgb="FF146C94"/>
      <x:name val="Carlito"/>
    </x:font>
    <x:font>
      <x:sz val="11"/>
      <x:name val="Yu Gothic"/>
    </x:font>
    <x:font>
      <x:sz val="11"/>
      <x:color rgb="FF10283F"/>
      <x:name val="Yu Gothic"/>
    </x:font>
    <x:font>
      <x:b/>
      <x:sz val="19"/>
      <x:color rgb="FFFFFFFF"/>
      <x:name val="Yu Gothic"/>
    </x:font>
    <x:font>
      <x:b/>
      <x:sz val="12"/>
      <x:color rgb="FF126F69"/>
      <x:name val="Yu Gothic"/>
    </x:font>
    <x:font>
      <x:b/>
      <x:sz val="11"/>
      <x:color rgb="FFFFFFFF"/>
      <x:name val="Yu Gothic"/>
    </x:font>
    <x:font>
      <x:b/>
      <x:sz val="21"/>
      <x:color rgb="FF2877E2"/>
      <x:name val="Yu Gothic"/>
    </x:font>
    <x:font>
      <x:b/>
      <x:sz val="21"/>
      <x:color rgb="FF008F86"/>
      <x:name val="Yu Gothic"/>
    </x:font>
    <x:font>
      <x:b/>
      <x:sz val="21"/>
      <x:color rgb="FFE76B71"/>
      <x:name val="Yu Gothic"/>
    </x:font>
    <x:font>
      <x:b/>
      <x:sz val="21"/>
      <x:color rgb="FFF5AD38"/>
      <x:name val="Yu Gothic"/>
    </x:font>
    <x:font>
      <x:b/>
      <x:sz val="13"/>
      <x:color rgb="FFFFFFFF"/>
      <x:name val="Yu Gothic"/>
    </x:font>
    <x:font>
      <x:b/>
      <x:sz val="11"/>
      <x:color rgb="FF126F69"/>
      <x:name val="Yu Gothic"/>
    </x:font>
    <x:font>
      <x:b/>
      <x:sz val="10"/>
      <x:color rgb="FFFFFFFF"/>
      <x:name val="Yu Gothic"/>
    </x:font>
    <x:font>
      <x:sz val="11"/>
      <x:color rgb="FF995322"/>
      <x:name val="Yu Gothic"/>
    </x:font>
    <x:font>
      <x:b/>
      <x:sz val="11"/>
      <x:color rgb="FF08776E"/>
      <x:name val="Yu Gothic"/>
    </x:font>
    <x:font>
      <x:sz val="11"/>
      <x:color rgb="FFFFFFFF"/>
      <x:name val="Yu Gothic"/>
    </x:font>
  </x:fonts>
  <x:fills count="17">
    <x:fill>
      <x:patternFill patternType="none"/>
    </x:fill>
    <x:fill>
      <x:patternFill patternType="gray125"/>
    </x:fill>
    <x:fill>
      <x:patternFill patternType="solid">
        <x:fgColor rgb="FF10283F"/>
      </x:patternFill>
    </x:fill>
    <x:fill>
      <x:patternFill patternType="solid">
        <x:fgColor rgb="FFE9F7F5"/>
      </x:patternFill>
    </x:fill>
    <x:fill>
      <x:patternFill patternType="solid">
        <x:fgColor rgb="FF146C94"/>
      </x:patternFill>
    </x:fill>
    <x:fill>
      <x:patternFill patternType="solid">
        <x:fgColor rgb="FF009A93"/>
      </x:patternFill>
    </x:fill>
    <x:fill>
      <x:patternFill patternType="solid">
        <x:fgColor rgb="FFFFF5D9"/>
      </x:patternFill>
    </x:fill>
    <x:fill>
      <x:patternFill patternType="solid">
        <x:fgColor rgb="FFE8F7F5"/>
      </x:patternFill>
    </x:fill>
    <x:fill>
      <x:patternFill patternType="solid">
        <x:fgColor rgb="FF10283F"/>
      </x:patternFill>
    </x:fill>
    <x:fill>
      <x:patternFill patternType="solid">
        <x:fgColor rgb="FFDCEFEB"/>
      </x:patternFill>
    </x:fill>
    <x:fill>
      <x:patternFill patternType="solid">
        <x:fgColor rgb="FF2877E2"/>
      </x:patternFill>
    </x:fill>
    <x:fill>
      <x:patternFill patternType="solid">
        <x:fgColor rgb="FFFFFFFF"/>
      </x:patternFill>
    </x:fill>
    <x:fill>
      <x:patternFill patternType="solid">
        <x:fgColor rgb="FF008F86"/>
      </x:patternFill>
    </x:fill>
    <x:fill>
      <x:patternFill patternType="solid">
        <x:fgColor rgb="FFE76B71"/>
      </x:patternFill>
    </x:fill>
    <x:fill>
      <x:patternFill patternType="solid">
        <x:fgColor rgb="FFF5AD38"/>
      </x:patternFill>
    </x:fill>
    <x:fill>
      <x:patternFill patternType="solid">
        <x:fgColor rgb="FFFFF1E8"/>
      </x:patternFill>
    </x:fill>
    <x:fill>
      <x:patternFill patternType="solid">
        <x:fgColor rgb="FFE1F4F1"/>
      </x:patternFill>
    </x:fill>
  </x:fills>
  <x:borders count="2">
    <x:border/>
    <x:border/>
  </x:borders>
  <x:cellStyleXfs count="1">
    <x:xf numFmtId="0" fontId="0" fillId="0" borderId="0"/>
  </x:cellStyleXfs>
  <x:cellXfs count="1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0" fillId="5" borderId="1" xfId="0" applyNumberFormat="1" applyFont="1" applyFill="1" applyBorder="1"/>
    <x:xf numFmtId="0" fontId="5" fillId="5"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1" fontId="0" fillId="6" borderId="0" xfId="0" applyNumberFormat="1" applyFont="1" applyFill="1" applyBorder="1"/>
    <x:xf numFmtId="201" fontId="0" fillId="6" borderId="1" xfId="0" applyNumberFormat="1" applyFont="1" applyFill="1" applyBorder="1"/>
    <x:xf numFmtId="200" fontId="0" fillId="6" borderId="0" xfId="0" applyNumberFormat="1" applyFont="1" applyFill="1" applyBorder="1" applyAlignment="1">
      <x:alignment wrapText="1"/>
    </x:xf>
    <x:xf numFmtId="200" fontId="0" fillId="6" borderId="1"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0" fillId="7" borderId="1" xfId="0" applyNumberFormat="1" applyFont="1" applyFill="1" applyBorder="1"/>
    <x:xf numFmtId="0" fontId="6" fillId="7" borderId="1"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x:xf numFmtId="0" fontId="0" fillId="0"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0" fontId="9"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horizontal="left"/>
    </x:xf>
    <x:xf numFmtId="0" fontId="10" fillId="8" borderId="0" xfId="0" applyNumberFormat="1" applyFont="1" applyFill="1" applyBorder="1" applyAlignment="1">
      <x:alignment horizontal="left" vertical="center"/>
    </x:xf>
    <x:xf numFmtId="0" fontId="9"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vertical="center"/>
    </x:xf>
    <x:xf numFmtId="0" fontId="9"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horizontal="center"/>
    </x:xf>
    <x:xf numFmtId="0" fontId="12" fillId="10" borderId="0" xfId="0" applyNumberFormat="1" applyFont="1" applyFill="1" applyBorder="1" applyAlignment="1">
      <x:alignment horizontal="center" vertical="center"/>
    </x:xf>
    <x:xf numFmtId="0" fontId="9" fillId="11" borderId="0" xfId="0" applyNumberFormat="1" applyFont="1" applyFill="1" applyBorder="1"/>
    <x:xf numFmtId="0" fontId="13" fillId="11" borderId="0" xfId="0" applyNumberFormat="1" applyFont="1" applyFill="1" applyBorder="1"/>
    <x:xf numFmtId="0" fontId="13" fillId="11" borderId="0" xfId="0" applyNumberFormat="1" applyFont="1" applyFill="1" applyBorder="1" applyAlignment="1">
      <x:alignment horizontal="center"/>
    </x:xf>
    <x:xf numFmtId="0" fontId="13" fillId="11" borderId="0" xfId="0" applyNumberFormat="1" applyFont="1" applyFill="1" applyBorder="1" applyAlignment="1">
      <x:alignment horizontal="center" vertical="center"/>
    </x:xf>
    <x:xf numFmtId="202" fontId="13" fillId="11" borderId="0" xfId="0" applyNumberFormat="1" applyFont="1" applyFill="1" applyBorder="1" applyAlignment="1">
      <x:alignment horizontal="center" vertical="center"/>
    </x:xf>
    <x:xf numFmtId="0" fontId="9" fillId="12" borderId="0" xfId="0" applyNumberFormat="1" applyFont="1" applyFill="1" applyBorder="1"/>
    <x:xf numFmtId="0" fontId="12" fillId="12" borderId="0" xfId="0" applyNumberFormat="1" applyFont="1" applyFill="1" applyBorder="1"/>
    <x:xf numFmtId="0" fontId="12" fillId="12" borderId="0" xfId="0" applyNumberFormat="1" applyFont="1" applyFill="1" applyBorder="1" applyAlignment="1">
      <x:alignment horizontal="center"/>
    </x:xf>
    <x:xf numFmtId="0" fontId="12" fillId="12" borderId="0" xfId="0" applyNumberFormat="1" applyFont="1" applyFill="1" applyBorder="1" applyAlignment="1">
      <x:alignment horizontal="center" vertical="center"/>
    </x:xf>
    <x:xf numFmtId="0" fontId="14" fillId="11" borderId="0" xfId="0" applyNumberFormat="1" applyFont="1" applyFill="1" applyBorder="1"/>
    <x:xf numFmtId="0" fontId="14" fillId="11" borderId="0" xfId="0" applyNumberFormat="1" applyFont="1" applyFill="1" applyBorder="1" applyAlignment="1">
      <x:alignment horizontal="center"/>
    </x:xf>
    <x:xf numFmtId="0" fontId="14" fillId="11" borderId="0" xfId="0" applyNumberFormat="1" applyFont="1" applyFill="1" applyBorder="1" applyAlignment="1">
      <x:alignment horizontal="center" vertical="center"/>
    </x:xf>
    <x:xf numFmtId="200" fontId="14" fillId="11" borderId="0" xfId="0" applyNumberFormat="1" applyFont="1" applyFill="1" applyBorder="1" applyAlignment="1">
      <x:alignment horizontal="center" vertical="center"/>
    </x:xf>
    <x:xf numFmtId="0" fontId="9"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horizontal="center"/>
    </x:xf>
    <x:xf numFmtId="0" fontId="12" fillId="13" borderId="0" xfId="0" applyNumberFormat="1" applyFont="1" applyFill="1" applyBorder="1" applyAlignment="1">
      <x:alignment horizontal="center" vertical="center"/>
    </x:xf>
    <x:xf numFmtId="0" fontId="15" fillId="11" borderId="0" xfId="0" applyNumberFormat="1" applyFont="1" applyFill="1" applyBorder="1"/>
    <x:xf numFmtId="0" fontId="15" fillId="11" borderId="0" xfId="0" applyNumberFormat="1" applyFont="1" applyFill="1" applyBorder="1" applyAlignment="1">
      <x:alignment horizontal="center"/>
    </x:xf>
    <x:xf numFmtId="0" fontId="15" fillId="11" borderId="0" xfId="0" applyNumberFormat="1" applyFont="1" applyFill="1" applyBorder="1" applyAlignment="1">
      <x:alignment horizontal="center" vertical="center"/>
    </x:xf>
    <x:xf numFmtId="202" fontId="15" fillId="11" borderId="0" xfId="0" applyNumberFormat="1" applyFont="1" applyFill="1" applyBorder="1" applyAlignment="1">
      <x:alignment horizontal="center" vertical="center"/>
    </x:xf>
    <x:xf numFmtId="0" fontId="9"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horizontal="center"/>
    </x:xf>
    <x:xf numFmtId="0" fontId="12" fillId="14" borderId="0" xfId="0" applyNumberFormat="1" applyFont="1" applyFill="1" applyBorder="1" applyAlignment="1">
      <x:alignment horizontal="center" vertical="center"/>
    </x:xf>
    <x:xf numFmtId="0" fontId="16" fillId="11" borderId="0" xfId="0" applyNumberFormat="1" applyFont="1" applyFill="1" applyBorder="1"/>
    <x:xf numFmtId="0" fontId="16" fillId="11" borderId="0" xfId="0" applyNumberFormat="1" applyFont="1" applyFill="1" applyBorder="1" applyAlignment="1">
      <x:alignment horizontal="center"/>
    </x:xf>
    <x:xf numFmtId="0" fontId="16" fillId="11" borderId="0" xfId="0" applyNumberFormat="1" applyFont="1" applyFill="1" applyBorder="1" applyAlignment="1">
      <x:alignment horizontal="center" vertical="center"/>
    </x:xf>
    <x:xf numFmtId="200" fontId="16" fillId="11" borderId="0" xfId="0" applyNumberFormat="1" applyFont="1" applyFill="1" applyBorder="1" applyAlignment="1">
      <x:alignment horizontal="center" vertical="center"/>
    </x:xf>
    <x:xf numFmtId="0" fontId="17" fillId="8" borderId="0" xfId="0" applyNumberFormat="1" applyFont="1" applyFill="1" applyBorder="1"/>
    <x:xf numFmtId="0" fontId="17" fillId="8" borderId="0" xfId="0" applyNumberFormat="1" applyFont="1" applyFill="1" applyBorder="1" applyAlignment="1">
      <x:alignment vertical="center"/>
    </x:xf>
    <x:xf numFmtId="0" fontId="18" fillId="9" borderId="0" xfId="0" applyNumberFormat="1" applyFont="1" applyFill="1" applyBorder="1"/>
    <x:xf numFmtId="0" fontId="18" fillId="9" borderId="0" xfId="0" applyNumberFormat="1" applyFont="1" applyFill="1" applyBorder="1" applyAlignment="1">
      <x:alignment vertical="center"/>
    </x:xf>
    <x:xf numFmtId="0" fontId="19" fillId="10" borderId="0" xfId="0" applyNumberFormat="1" applyFont="1" applyFill="1" applyBorder="1"/>
    <x:xf numFmtId="0" fontId="9" fillId="0" borderId="0" xfId="0" applyNumberFormat="1" applyFont="1" applyFill="1" applyBorder="1" applyAlignment="1">
      <x:alignment wrapText="1"/>
    </x:xf>
    <x:xf numFmtId="0" fontId="9" fillId="15" borderId="0" xfId="0" applyNumberFormat="1" applyFont="1" applyFill="1" applyBorder="1"/>
    <x:xf numFmtId="0" fontId="20" fillId="15" borderId="0" xfId="0" applyNumberFormat="1" applyFont="1" applyFill="1" applyBorder="1"/>
    <x:xf numFmtId="0" fontId="20" fillId="15" borderId="0" xfId="0" applyNumberFormat="1" applyFont="1" applyFill="1" applyBorder="1" applyAlignment="1">
      <x:alignment vertical="center"/>
    </x:xf>
    <x:xf numFmtId="0" fontId="9" fillId="16" borderId="0" xfId="0" applyNumberFormat="1" applyFont="1" applyFill="1" applyBorder="1"/>
    <x:xf numFmtId="0" fontId="21" fillId="16" borderId="0" xfId="0" applyNumberFormat="1" applyFont="1" applyFill="1" applyBorder="1"/>
    <x:xf numFmtId="0" fontId="21" fillId="16" borderId="0" xfId="0" applyNumberFormat="1" applyFont="1" applyFill="1" applyBorder="1" applyAlignment="1">
      <x:alignment wrapText="1"/>
    </x:xf>
    <x:xf numFmtId="0" fontId="21" fillId="16" borderId="0" xfId="0" applyNumberFormat="1" applyFont="1" applyFill="1" applyBorder="1" applyAlignment="1">
      <x:alignment vertical="center" wrapText="1"/>
    </x:xf>
    <x:xf numFmtId="0" fontId="22" fillId="8" borderId="0" xfId="0" applyNumberFormat="1" applyFont="1" applyFill="1" applyBorder="1"/>
    <x:xf numFmtId="0" fontId="22" fillId="8"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2d6d2fad954085" /><Relationship Type="http://schemas.openxmlformats.org/officeDocument/2006/relationships/theme" Target="/xl/theme/theme1.xml" Id="R38f0ba55de40461c" /><Relationship Type="http://schemas.openxmlformats.org/officeDocument/2006/relationships/sharedStrings" Target="/xl/sharedStrings.xml" Id="R2963ba9c30d94c06" /><Relationship Type="http://schemas.openxmlformats.org/officeDocument/2006/relationships/worksheet" Target="/xl/worksheets/sheet1.xml" Id="Rcafa10d64dc446c2" /><Relationship Type="http://schemas.openxmlformats.org/officeDocument/2006/relationships/worksheet" Target="/xl/worksheets/sheet2.xml" Id="Rba61c598f8c34a13" /><Relationship Type="http://schemas.openxmlformats.org/officeDocument/2006/relationships/worksheet" Target="/xl/worksheets/sheet3.xml" Id="R8925949ab717442b" /><Relationship Type="http://schemas.openxmlformats.org/officeDocument/2006/relationships/worksheet" Target="/xl/worksheets/sheet4.xml" Id="R971e6797c07b4a81" /><Relationship Type="http://schemas.openxmlformats.org/officeDocument/2006/relationships/worksheet" Target="/xl/worksheets/sheet5.xml" Id="R016a03ba7f014476" /><Relationship Type="http://schemas.openxmlformats.org/officeDocument/2006/relationships/worksheet" Target="/xl/worksheets/sheet6.xml" Id="R1a636330bfdb4022" /><Relationship Type="http://schemas.openxmlformats.org/officeDocument/2006/relationships/worksheet" Target="/xl/worksheets/sheet7.xml" Id="R359e38b856654ad5" /><Relationship Type="http://schemas.openxmlformats.org/officeDocument/2006/relationships/worksheet" Target="/xl/worksheets/sheet8.xml" Id="Rf113a13233ca44f0" /><Relationship Type="http://schemas.openxmlformats.org/officeDocument/2006/relationships/worksheet" Target="/xl/worksheets/sheet9.xml" Id="Rd3301cdb2535460b" /><Relationship Type="http://schemas.openxmlformats.org/officeDocument/2006/relationships/worksheet" Target="/xl/worksheets/sheet10.xml" Id="R5b991ebc258c4505" /><Relationship Type="http://schemas.openxmlformats.org/officeDocument/2006/relationships/worksheet" Target="/xl/worksheets/sheet11.xml" Id="Re1ab6d3773e74628" /><Relationship Type="http://schemas.openxmlformats.org/officeDocument/2006/relationships/worksheet" Target="/xl/worksheets/sheet12.xml" Id="R7595993b61de48ae" /><Relationship Type="http://schemas.openxmlformats.org/officeDocument/2006/relationships/worksheet" Target="/xl/worksheets/sheet13.xml" Id="R7ea261aaea1c4b95" /><Relationship Type="http://schemas.openxmlformats.org/officeDocument/2006/relationships/worksheet" Target="/xl/worksheets/sheet14.xml" Id="R9238753a787d4ca9" /><Relationship Type="http://schemas.openxmlformats.org/officeDocument/2006/relationships/worksheet" Target="/xl/worksheets/sheet15.xml" Id="Rcfff33ba2e794dab" /><Relationship Type="http://schemas.openxmlformats.org/officeDocument/2006/relationships/worksheet" Target="/xl/worksheets/sheet16.xml" Id="R1438ccded7cf4ebd" /><Relationship Type="http://schemas.openxmlformats.org/officeDocument/2006/relationships/worksheet" Target="/xl/worksheets/sheet17.xml" Id="R8b2237c10cdf4b01" /><Relationship Type="http://schemas.openxmlformats.org/officeDocument/2006/relationships/worksheet" Target="/xl/worksheets/sheet18.xml" Id="R201e5b40b6fd4195" /><Relationship Type="http://schemas.openxmlformats.org/officeDocument/2006/relationships/worksheet" Target="/xl/worksheets/sheet19.xml" Id="Re952937c538442a4" /><Relationship Type="http://schemas.openxmlformats.org/officeDocument/2006/relationships/worksheet" Target="/xl/worksheets/sheet20.xml" Id="R80465da5b7ad40c3" /><Relationship Type="http://schemas.openxmlformats.org/officeDocument/2006/relationships/worksheet" Target="/xl/worksheets/sheet21.xml" Id="R8cb5633f302d46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3127f841cea746b4" /><Relationship Type="http://schemas.openxmlformats.org/officeDocument/2006/relationships/chart" Target="/xl/drawings/charts/chart2.xml" Id="R85d0cd946ffd4f1e" /></Relationships>
</file>

<file path=xl/drawings/_rels/drawing2.xml.rels>&#65279;<?xml version="1.0" encoding="utf-8"?><Relationships xmlns="http://schemas.openxmlformats.org/package/2006/relationships"><Relationship Type="http://schemas.openxmlformats.org/officeDocument/2006/relationships/chart" Target="/xl/drawings/charts/chart3.xml" Id="Rdbc706579d9f4d91" /><Relationship Type="http://schemas.openxmlformats.org/officeDocument/2006/relationships/chart" Target="/xl/drawings/charts/chart4.xml" Id="R008bcb0952e54a34" /><Relationship Type="http://schemas.openxmlformats.org/officeDocument/2006/relationships/chart" Target="/xl/drawings/charts/chart5.xml" Id="Rd70d0850595b4baf" /><Relationship Type="http://schemas.openxmlformats.org/officeDocument/2006/relationships/chart" Target="/xl/drawings/charts/chart6.xml" Id="R70d0ac26d8bd422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3〜5年売上計画（架空例）</a:t>
            </a:r>
          </a:p>
        </c:rich>
      </c:tx>
      <c:overlay val="0"/>
    </c:title>
    <c:plotArea>
      <c:lineChart>
        <c:grouping val="standard"/>
        <c:varyColors val="0"/>
        <c:ser>
          <c:idx val="0"/>
          <c:order val="0"/>
          <c:tx>
            <c:v>売上（架空例）</c:v>
          </c:tx>
          <c:marker>
            <c:symbol val="none"/>
          </c:marker>
          <c:cat>
            <c:strRef>
              <c:f>'02_進捗一覧'!$F$6:$F$10</c:f>
              <c:strCache>
                <c:ptCount val="0"/>
              </c:strCache>
            </c:strRef>
          </c:cat>
          <c:val>
            <c:numRef>
              <c:f>'02_進捗一覧'!$G$6:$G$10</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商談ファネル（架空例）</a:t>
            </a:r>
          </a:p>
        </c:rich>
      </c:tx>
      <c:overlay val="0"/>
    </c:title>
    <c:plotArea>
      <c:barChart>
        <c:barDir val="col"/>
        <c:varyColors val="0"/>
        <c:ser>
          <c:idx val="0"/>
          <c:order val="0"/>
          <c:tx>
            <c:v>案件数（架空例）</c:v>
          </c:tx>
          <c:cat>
            <c:strRef>
              <c:f>'02_進捗一覧'!$F$15:$F$19</c:f>
              <c:strCache>
                <c:ptCount val="0"/>
              </c:strCache>
            </c:strRef>
          </c:cat>
          <c:val>
            <c:numRef>
              <c:f>'02_進捗一覧'!$G$15:$G$19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架空企業：年度別売上成長</a:t>
            </a:r>
          </a:p>
        </c:rich>
      </c:tx>
      <c:overlay val="0"/>
    </c:title>
    <c:plotArea>
      <c:lineChart>
        <c:grouping val="standard"/>
        <c:varyColors val="0"/>
        <c:ser>
          <c:idx val="0"/>
          <c:order val="0"/>
          <c:tx>
            <c:v>売上（百万円）</c:v>
          </c:tx>
          <c:marker>
            <c:symbol val="none"/>
          </c:marker>
          <c:cat>
            <c:strRef>
              <c:f>'21_図解ダッシュボード'!$A$63:$A$67</c:f>
              <c:strCache>
                <c:ptCount val="0"/>
              </c:strCache>
            </c:strRef>
          </c:cat>
          <c:val>
            <c:numRef>
              <c:f>'21_図解ダッシュボード'!$B$63:$B$67</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重要成功要因の能力ギャップ</a:t>
            </a:r>
          </a:p>
        </c:rich>
      </c:tx>
      <c:overlay val="0"/>
    </c:title>
    <c:plotArea>
      <c:barChart>
        <c:barDir val="col"/>
        <c:varyColors val="0"/>
        <c:ser>
          <c:idx val="0"/>
          <c:order val="0"/>
          <c:tx>
            <c:v>ギャップ</c:v>
          </c:tx>
          <c:cat>
            <c:strRef>
              <c:f>'21_図解ダッシュボード'!$D$63:$D$68</c:f>
              <c:strCache>
                <c:ptCount val="0"/>
              </c:strCache>
            </c:strRef>
          </c:cat>
          <c:val>
            <c:numRef>
              <c:f>'21_図解ダッシュボード'!$E$63:$E$68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営業ファネルの段階別件数</a:t>
            </a:r>
          </a:p>
        </c:rich>
      </c:tx>
      <c:overlay val="0"/>
    </c:title>
    <c:plotArea>
      <c:barChart>
        <c:barDir val="col"/>
        <c:varyColors val="0"/>
        <c:ser>
          <c:idx val="0"/>
          <c:order val="0"/>
          <c:tx>
            <c:v>案件数</c:v>
          </c:tx>
          <c:cat>
            <c:strRef>
              <c:f>'21_図解ダッシュボード'!$G$63:$G$67</c:f>
              <c:strCache>
                <c:ptCount val="0"/>
              </c:strCache>
            </c:strRef>
          </c:cat>
          <c:val>
            <c:numRef>
              <c:f>'21_図解ダッシュボード'!$H$63:$H$67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最初の90日：完了 / 未完了</a:t>
            </a:r>
          </a:p>
        </c:rich>
      </c:tx>
      <c:overlay val="0"/>
    </c:title>
    <c:plotArea>
      <c:barChart>
        <c:barDir val="col"/>
        <c:varyColors val="0"/>
        <c:ser>
          <c:idx val="0"/>
          <c:order val="0"/>
          <c:tx>
            <c:v>件数</c:v>
          </c:tx>
          <c:cat>
            <c:strRef>
              <c:f>'21_図解ダッシュボード'!$J$63:$J$64</c:f>
              <c:strCache>
                <c:ptCount val="0"/>
              </c:strCache>
            </c:strRef>
          </c:cat>
          <c:val>
            <c:numRef>
              <c:f>'21_図解ダッシュボード'!$K$63:$K$64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4</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127f841cea746b4"/>
        </a:graphicData>
      </a:graphic>
    </xdr:graphicFrame>
    <xdr:clientData/>
  </xdr:twoCellAnchor>
  <xdr:twoCellAnchor>
    <xdr:from>
      <xdr:col>8</xdr:col>
      <xdr:colOff>0</xdr:colOff>
      <xdr:row>19</xdr:row>
      <xdr:rowOff>0</xdr:rowOff>
    </xdr:from>
    <xdr:to>
      <xdr:col>17</xdr:col>
      <xdr:colOff>0</xdr:colOff>
      <xdr:row>34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d0cd946ffd4f1e"/>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15</xdr:row>
      <xdr:rowOff>0</xdr:rowOff>
    </xdr:from>
    <xdr:to>
      <xdr:col>7</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bc706579d9f4d91"/>
        </a:graphicData>
      </a:graphic>
    </xdr:graphicFrame>
    <xdr:clientData/>
  </xdr:twoCellAnchor>
  <xdr:twoCellAnchor>
    <xdr:from>
      <xdr:col>7</xdr:col>
      <xdr:colOff>0</xdr:colOff>
      <xdr:row>15</xdr:row>
      <xdr:rowOff>0</xdr:rowOff>
    </xdr:from>
    <xdr:to>
      <xdr:col>14</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8bcb0952e54a34"/>
        </a:graphicData>
      </a:graphic>
    </xdr:graphicFrame>
    <xdr:clientData/>
  </xdr:twoCellAnchor>
  <xdr:twoCellAnchor>
    <xdr:from>
      <xdr:col>0</xdr:col>
      <xdr:colOff>0</xdr:colOff>
      <xdr:row>38</xdr:row>
      <xdr:rowOff>0</xdr:rowOff>
    </xdr:from>
    <xdr:to>
      <xdr:col>7</xdr:col>
      <xdr:colOff>0</xdr:colOff>
      <xdr:row>56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0d0850595b4baf"/>
        </a:graphicData>
      </a:graphic>
    </xdr:graphicFrame>
    <xdr:clientData/>
  </xdr:twoCellAnchor>
  <xdr:twoCellAnchor>
    <xdr:from>
      <xdr:col>7</xdr:col>
      <xdr:colOff>0</xdr:colOff>
      <xdr:row>38</xdr:row>
      <xdr:rowOff>0</xdr:rowOff>
    </xdr:from>
    <xdr:to>
      <xdr:col>14</xdr:col>
      <xdr:colOff>0</xdr:colOff>
      <xdr:row>56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d0ac26d8bd422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d6d03ebc7d4b452d" /></Relationships>
</file>

<file path=xl/worksheets/_rels/sheet21.xml.rels>&#65279;<?xml version="1.0" encoding="utf-8"?><Relationships xmlns="http://schemas.openxmlformats.org/package/2006/relationships"><Relationship Type="http://schemas.openxmlformats.org/officeDocument/2006/relationships/drawing" Target="/xl/drawings/drawing2.xml" Id="R85430a97dd06461d" /></Relationships>
</file>

<file path=xl/worksheets/sheet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32" hidden="0" customWidth="1"/>
    <x:col min="3" max="3" width="36" hidden="0" customWidth="1"/>
    <x:col min="4" max="4" width="62" hidden="0" customWidth="1"/>
  </x:cols>
  <x:sheetData>
    <x:row r="1" ht="26" customHeight="1">
      <x:c r="A1" s="4" t="str">
        <x:v>戦略思考・中長期戦略立案｜演習ブック</x:v>
      </x:c>
      <x:c r="B1" s="4"/>
      <x:c r="C1" s="4"/>
      <x:c r="D1" s="4"/>
      <x:c r="E1" s="4"/>
      <x:c r="F1" s="4"/>
      <x:c r="G1" s="4"/>
      <x:c r="H1" s="4"/>
    </x:row>
    <x:row r="2" ht="26" customHeight="1">
      <x:c r="A2" s="4"/>
      <x:c r="B2" s="4"/>
      <x:c r="C2" s="4"/>
      <x:c r="D2" s="4"/>
      <x:c r="E2" s="4"/>
      <x:c r="F2" s="4"/>
      <x:c r="G2" s="4"/>
      <x:c r="H2" s="4"/>
    </x:row>
    <x:row r="3" ht="30" customHeight="1">
      <x:c r="A3" s="10" t="str">
        <x:v>黄色いセルは記入・編集欄。全ての事例数値は架空。企業固有・顧客個人情報は公開用ブックへ記載しないこと。</x:v>
      </x:c>
      <x:c r="B3" s="10"/>
      <x:c r="C3" s="10"/>
      <x:c r="D3" s="10"/>
      <x:c r="E3" s="10"/>
      <x:c r="F3" s="10"/>
      <x:c r="G3" s="10"/>
      <x:c r="H3" s="10"/>
    </x:row>
    <x:row r="5" ht="33" customHeight="1">
      <x:c r="A5" s="17" t="str">
        <x:v>段階</x:v>
      </x:c>
      <x:c r="B5" s="17" t="str">
        <x:v>ワークシート</x:v>
      </x:c>
      <x:c r="C5" s="17" t="str">
        <x:v>アウトプット</x:v>
      </x:c>
      <x:c r="D5" s="17" t="str">
        <x:v>具体的な使い方</x:v>
      </x:c>
    </x:row>
    <x:row r="6" ht="35" customHeight="1">
      <x:c r="A6" s="22" t="str">
        <x:v>1</x:v>
      </x:c>
      <x:c r="B6" s="22" t="str">
        <x:v>03_PEST / 04_5F / 05_3C</x:v>
      </x:c>
      <x:c r="C6" s="22" t="str">
        <x:v>外部・顧客・競争の仮説</x:v>
      </x:c>
      <x:c r="D6" s="22" t="str">
        <x:v>Fact / Assumption / 反証 / 出典の区別</x:v>
      </x:c>
    </x:row>
    <x:row r="7" ht="35" customHeight="1">
      <x:c r="A7" s="22" t="str">
        <x:v>2</x:v>
      </x:c>
      <x:c r="B7" s="22" t="str">
        <x:v>06_VRIO / 07_STP</x:v>
      </x:c>
      <x:c r="C7" s="22" t="str">
        <x:v>自社能力と最優先市場</x:v>
      </x:c>
      <x:c r="D7" s="22" t="str">
        <x:v>重要度と競争力で比較、選ばない市場も記載</x:v>
      </x:c>
    </x:row>
    <x:row r="8" ht="35" customHeight="1">
      <x:c r="A8" s="22" t="str">
        <x:v>3</x:v>
      </x:c>
      <x:c r="B8" s="22" t="str">
        <x:v>08_4P4C / 09_SWOT / 10_KSF</x:v>
      </x:c>
      <x:c r="C8" s="22" t="str">
        <x:v>差別化・Gap・施策</x:v>
      </x:c>
      <x:c r="D8" s="22" t="str">
        <x:v>KSFを施策に直結し、KPIを設定</x:v>
      </x:c>
    </x:row>
    <x:row r="9" ht="35" customHeight="1">
      <x:c r="A9" s="22" t="str">
        <x:v>4</x:v>
      </x:c>
      <x:c r="B9" s="22" t="str">
        <x:v>11_Strategy / 12_3YPlan</x:v>
      </x:c>
      <x:c r="C9" s="22" t="str">
        <x:v>3〜5年戦略</x:v>
      </x:c>
      <x:c r="D9" s="22" t="str">
        <x:v>Where / How / 非選択 / 人員・投資・数値目標</x:v>
      </x:c>
    </x:row>
    <x:row r="10" ht="35" customHeight="1">
      <x:c r="A10" s="22" t="str">
        <x:v>5</x:v>
      </x:c>
      <x:c r="B10" s="22" t="str">
        <x:v>14_Team / 15_RACI / 16_Risks</x:v>
      </x:c>
      <x:c r="C10" s="22" t="str">
        <x:v>改革チームと失敗分析</x:v>
      </x:c>
      <x:c r="D10" s="22" t="str">
        <x:v>異論・反証と意思決定責任を確立</x:v>
      </x:c>
    </x:row>
    <x:row r="11" ht="35" customHeight="1">
      <x:c r="A11" s="22" t="str">
        <x:v>6</x:v>
      </x:c>
      <x:c r="B11" s="22" t="str">
        <x:v>17_90日目s / 18_Workshop</x:v>
      </x:c>
      <x:c r="C11" s="22" t="str">
        <x:v>90日実行と発表</x:v>
      </x:c>
      <x:c r="D11" s="22" t="str">
        <x:v>責任者・期限・検証・ゲート・学習</x:v>
      </x:c>
    </x:row>
    <x:row r="16">
      <x:c r="A16"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17" hidden="0" customWidth="1"/>
    <x:col min="3" max="3" width="13" hidden="0" customWidth="1"/>
    <x:col min="4" max="4" width="43" hidden="0" customWidth="1"/>
  </x:cols>
  <x:sheetData>
    <x:row r="1" ht="26" customHeight="1">
      <x:c r="A1" s="4" t="str">
        <x:v>実行ダッシュボード</x:v>
      </x:c>
      <x:c r="B1" s="4"/>
      <x:c r="C1" s="4"/>
      <x:c r="D1" s="4"/>
      <x:c r="E1" s="4"/>
      <x:c r="F1" s="4"/>
      <x:c r="G1" s="4"/>
      <x:c r="H1" s="4"/>
    </x:row>
    <x:row r="2" ht="26" customHeight="1">
      <x:c r="A2" s="4"/>
      <x:c r="B2" s="4"/>
      <x:c r="C2" s="4"/>
      <x:c r="D2" s="4"/>
      <x:c r="E2" s="4"/>
      <x:c r="F2" s="4"/>
      <x:c r="G2" s="4"/>
      <x:c r="H2" s="4"/>
    </x:row>
    <x:row r="3" ht="30" customHeight="1">
      <x:c r="A3" s="10" t="str">
        <x:v>サンプル値は架空。年間予算と実行状況を自社データへ更新すると関連指標が動きます。</x:v>
      </x:c>
      <x:c r="B3" s="10"/>
      <x:c r="C3" s="10"/>
      <x:c r="D3" s="10"/>
      <x:c r="E3" s="10"/>
      <x:c r="F3" s="10"/>
      <x:c r="G3" s="10"/>
      <x:c r="H3" s="10"/>
    </x:row>
    <x:row r="5" ht="33" customHeight="1">
      <x:c r="A5" s="17" t="str">
        <x:v>指標</x:v>
      </x:c>
      <x:c r="B5" s="17" t="str">
        <x:v>値</x:v>
      </x:c>
      <x:c r="C5" s="17" t="str">
        <x:v>単位</x:v>
      </x:c>
      <x:c r="D5" s="17" t="str">
        <x:v>参照元 / 定義</x:v>
      </x:c>
      <x:c r="F5" s="29" t="str">
        <x:v>年度</x:v>
      </x:c>
      <x:c r="G5" s="29" t="str">
        <x:v>売上（架空例）</x:v>
      </x:c>
    </x:row>
    <x:row r="6" ht="35" customHeight="1">
      <x:c r="A6" s="22" t="str">
        <x:v>2026年売上（例）</x:v>
      </x:c>
      <x:c r="B6" s="22" t="n">
        <x:f>'12_年度別計画'!B6</x:f>
        <x:v>1000</x:v>
      </x:c>
      <x:c r="C6" s="22" t="str">
        <x:v>百万円</x:v>
      </x:c>
      <x:c r="D6" s="22" t="str">
        <x:v>12_3YPlan</x:v>
      </x:c>
      <x:c r="F6" t="n">
        <x:v>2026</x:v>
      </x:c>
      <x:c r="G6" t="n">
        <x:v>1000</x:v>
      </x:c>
    </x:row>
    <x:row r="7" ht="35" customHeight="1">
      <x:c r="A7" s="22" t="str">
        <x:v>2030年売上（例）</x:v>
      </x:c>
      <x:c r="B7" s="22" t="n">
        <x:f>'12_年度別計画'!B10</x:f>
        <x:v>1420</x:v>
      </x:c>
      <x:c r="C7" s="22" t="str">
        <x:v>百万円</x:v>
      </x:c>
      <x:c r="D7" s="22" t="str">
        <x:v>12_3YPlan</x:v>
      </x:c>
      <x:c r="F7" t="n">
        <x:v>2027</x:v>
      </x:c>
      <x:c r="G7" t="n">
        <x:v>1080</x:v>
      </x:c>
    </x:row>
    <x:row r="8" ht="35" customHeight="1">
      <x:c r="A8" s="22" t="str">
        <x:v>中計目標成長率</x:v>
      </x:c>
      <x:c r="B8" s="26" t="n">
        <x:f>IFERROR(B7/B6-1,0)</x:f>
        <x:v>0.41999999999999993</x:v>
      </x:c>
      <x:c r="C8" s="22" t="str">
        <x:v>%</x:v>
      </x:c>
      <x:c r="D8" s="22" t="str">
        <x:v>2030 / 2026 - 1</x:v>
      </x:c>
      <x:c r="F8" t="n">
        <x:v>2028</x:v>
      </x:c>
      <x:c r="G8" t="n">
        <x:v>1180</x:v>
      </x:c>
    </x:row>
    <x:row r="9" ht="35" customHeight="1">
      <x:c r="A9" s="22" t="str">
        <x:v>上位KSF未充足の合計</x:v>
      </x:c>
      <x:c r="B9" s="22" t="n">
        <x:f>SUM('10_KSF'!D6:D11)</x:f>
        <x:v>13</x:v>
      </x:c>
      <x:c r="C9" s="22" t="str">
        <x:v>Gap点</x:v>
      </x:c>
      <x:c r="D9" s="22" t="str">
        <x:v>10_KSF / 重要度との差</x:v>
      </x:c>
      <x:c r="F9" t="n">
        <x:v>2029</x:v>
      </x:c>
      <x:c r="G9" t="n">
        <x:v>1300</x:v>
      </x:c>
    </x:row>
    <x:row r="10" ht="35" customHeight="1">
      <x:c r="A10" s="22" t="str">
        <x:v>90日完了数</x:v>
      </x:c>
      <x:c r="B10" s="22" t="n">
        <x:f>SUM('17_90日施策'!H6:H17)</x:f>
        <x:v>0</x:v>
      </x:c>
      <x:c r="C10" s="22" t="str">
        <x:v>件</x:v>
      </x:c>
      <x:c r="D10" s="22" t="str">
        <x:v>17_90日目s の完了フラグ</x:v>
      </x:c>
      <x:c r="F10" t="n">
        <x:v>2030</x:v>
      </x:c>
      <x:c r="G10" t="n">
        <x:v>1420</x:v>
      </x:c>
    </x:row>
    <x:row r="11" ht="35" customHeight="1">
      <x:c r="A11" s="22" t="str">
        <x:v>90日実行率</x:v>
      </x:c>
      <x:c r="B11" s="26" t="n">
        <x:f>IFERROR(B10/12,0)</x:f>
        <x:v>0</x:v>
      </x:c>
      <x:c r="C11" s="22" t="str">
        <x:v>%</x:v>
      </x:c>
      <x:c r="D11" s="22" t="str">
        <x:v>完了数 / 計画施策数</x:v>
      </x:c>
    </x:row>
    <x:row r="12" ht="35" customHeight="1">
      <x:c r="A12" s="22" t="str">
        <x:v>最優先市場の評価指数</x:v>
      </x:c>
      <x:c r="B12" s="22" t="n">
        <x:f>MAX('07_STP'!F6:F10)</x:f>
        <x:v>3.16</x:v>
      </x:c>
      <x:c r="C12" s="22" t="str">
        <x:v>点</x:v>
      </x:c>
      <x:c r="D12" s="22" t="str">
        <x:v>07_STP の最大スコア</x:v>
      </x:c>
    </x:row>
    <x:row r="14">
      <x:c r="F14" s="32" t="str">
        <x:v>段階</x:v>
      </x:c>
      <x:c r="G14" s="32" t="str">
        <x:v>案件数（架空例）</x:v>
      </x:c>
    </x:row>
    <x:row r="15">
      <x:c r="F15" t="str">
        <x:v>接触</x:v>
      </x:c>
      <x:c r="G15" t="n">
        <x:v>1500</x:v>
      </x:c>
    </x:row>
    <x:row r="16">
      <x:c r="F16" t="str">
        <x:v>課題確認</x:v>
      </x:c>
      <x:c r="G16" t="n">
        <x:v>320</x:v>
      </x:c>
    </x:row>
    <x:row r="17">
      <x:c r="F17" t="str">
        <x:v>有効商談</x:v>
      </x:c>
      <x:c r="G17" t="n">
        <x:v>160</x:v>
      </x:c>
    </x:row>
    <x:row r="18">
      <x:c r="F18" t="str">
        <x:v>デモ</x:v>
      </x:c>
      <x:c r="G18" t="n">
        <x:v>95</x:v>
      </x:c>
    </x:row>
    <x:row r="19">
      <x:c r="F19" t="str">
        <x:v>受注</x:v>
      </x:c>
      <x:c r="G19" t="n">
        <x:v>40</x:v>
      </x:c>
    </x:row>
    <x:row r="39">
      <x:c r="A39" s="24" t="str">
        <x:v>編纂：DyRO推進課 松尾 武範／ビジネスパートナー戦略企画課 伊逹浩一・山中 果菜実</x:v>
      </x:c>
    </x:row>
  </x:sheetData>
  <x:mergeCells>
    <x:mergeCell ref="A1:H2"/>
    <x:mergeCell ref="A3:H3"/>
  </x:mergeCells>
  <x:conditionalFormatting sqref="G6:G10">
    <x:cfRule type="dataBar" priority="1">
      <x:dataBar>
        <x:cfvo type="min"/>
        <x:cfvo type="max"/>
        <x:color rgb="FF009A93"/>
      </x:dataBar>
      <x:extLst>
        <x:ext xmlns:x14="http://schemas.microsoft.com/office/spreadsheetml/2009/9/main" uri="{B025F937-C7B1-47D3-B67F-A62EFF666E3E}">
          <x14:id>{3AC92B24-FCF0-7C26-583E-759688E088EB}</x14:id>
        </x:ext>
      </x:extLst>
    </x:cfRule>
  </x:conditionalFormatting>
  <x:conditionalFormatting sqref="G15:G19">
    <x:cfRule type="dataBar" priority="2">
      <x:dataBar>
        <x:cfvo type="min"/>
        <x:cfvo type="max"/>
        <x:color rgb="FF146C94"/>
      </x:dataBar>
      <x:extLst>
        <x:ext xmlns:x14="http://schemas.microsoft.com/office/spreadsheetml/2009/9/main" uri="{B025F937-C7B1-47D3-B67F-A62EFF666E3E}">
          <x14:id>{937FA350-F978-00A6-6127-0E2DA10FB806}</x14:id>
        </x:ext>
      </x:extLst>
    </x:cfRule>
  </x:conditionalFormatting>
  <x:pageMargins left="0.7" right="0.7" top="0.75" bottom="0.75" header="0.3" footer="0.3"/>
  <x:drawing xmlns:r="http://schemas.openxmlformats.org/officeDocument/2006/relationships" r:id="Rd6d03ebc7d4b452d"/>
  <x:extLst>
    <x:ext xmlns:x14="http://schemas.microsoft.com/office/spreadsheetml/2009/9/main" xmlns:xm="http://schemas.microsoft.com/office/excel/2006/main" uri="{78C0D931-6437-407d-A8EE-F0AAD7539E65}">
      <x14:conditionalFormattings>
        <x14:conditionalFormatting>
          <x14:cfRule type="dataBar" priority="1" id="{3AC92B24-FCF0-7C26-583E-759688E088EB}">
            <x14:dataBar gradient="1">
              <x14:cfvo type="min"/>
              <x14:cfvo type="max"/>
              <x14:fillColor rgb="FF009A93"/>
            </x14:dataBar>
          </x14:cfRule>
          <xm:sqref>G6:G10</xm:sqref>
        </x14:conditionalFormatting>
        <x14:conditionalFormatting>
          <x14:cfRule type="dataBar" priority="2" id="{937FA350-F978-00A6-6127-0E2DA10FB806}">
            <x14:dataBar gradient="1">
              <x14:cfvo type="min"/>
              <x14:cfvo type="max"/>
              <x14:fillColor rgb="FF146C94"/>
            </x14:dataBar>
          </x14:cfRule>
          <xm:sqref>G15:G19</xm:sqref>
        </x14:conditionalFormatting>
      </x14:conditionalFormattings>
    </x:ext>
  </x:extLst>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8" hidden="0" customWidth="1"/>
    <x:col min="2" max="2" width="34" hidden="0" customWidth="1"/>
    <x:col min="3" max="3" width="19" hidden="0" customWidth="1"/>
    <x:col min="4" max="4" width="39" hidden="0" customWidth="1"/>
    <x:col min="5" max="5" width="18" hidden="0" customWidth="1"/>
    <x:col min="6" max="6" width="15" hidden="0" customWidth="1"/>
    <x:col min="7" max="7" width="28" hidden="0" customWidth="1"/>
    <x:col min="8" max="8" width="30" hidden="0" customWidth="1"/>
  </x:cols>
  <x:sheetData>
    <x:row r="1" ht="26" customHeight="1">
      <x:c r="A1" s="4" t="str">
        <x:v>PEST｜外部環境分析</x:v>
      </x:c>
      <x:c r="B1" s="4"/>
      <x:c r="C1" s="4"/>
      <x:c r="D1" s="4"/>
      <x:c r="E1" s="4"/>
      <x:c r="F1" s="4"/>
      <x:c r="G1" s="4"/>
      <x:c r="H1" s="4"/>
    </x:row>
    <x:row r="2" ht="26" customHeight="1">
      <x:c r="A2" s="4"/>
      <x:c r="B2" s="4"/>
      <x:c r="C2" s="4"/>
      <x:c r="D2" s="4"/>
      <x:c r="E2" s="4"/>
      <x:c r="F2" s="4"/>
      <x:c r="G2" s="4"/>
      <x:c r="H2" s="4"/>
    </x:row>
    <x:row r="3" ht="30" customHeight="1">
      <x:c r="A3" s="10" t="str">
        <x:v>変化の事実 → 顧客への影響 → 自社への機会・脅威 → 検証の順で書く。例は一般論／要検証。</x:v>
      </x:c>
      <x:c r="B3" s="10"/>
      <x:c r="C3" s="10"/>
      <x:c r="D3" s="10"/>
      <x:c r="E3" s="10"/>
      <x:c r="F3" s="10"/>
      <x:c r="G3" s="10"/>
      <x:c r="H3" s="10"/>
    </x:row>
    <x:row r="5" ht="33" customHeight="1">
      <x:c r="A5" s="17" t="str">
        <x:v>分類</x:v>
      </x:c>
      <x:c r="B5" s="17" t="str">
        <x:v>変化の例</x:v>
      </x:c>
      <x:c r="C5" s="17" t="str">
        <x:v>Fact or 仮説</x:v>
      </x:c>
      <x:c r="D5" s="17" t="str">
        <x:v>顧客への影響（仮説）</x:v>
      </x:c>
      <x:c r="E5" s="17" t="str">
        <x:v>機会/脅威</x:v>
      </x:c>
      <x:c r="F5" s="17" t="str">
        <x:v>影響度1-5</x:v>
      </x:c>
      <x:c r="G5" s="17" t="str">
        <x:v>根拠URL</x:v>
      </x:c>
      <x:c r="H5" s="17" t="str">
        <x:v>確認担当・期限</x:v>
      </x:c>
    </x:row>
    <x:row r="6" ht="35" customHeight="1">
      <x:c r="A6" s="22" t="str">
        <x:v>P｜制度</x:v>
      </x:c>
      <x:c r="B6" s="22" t="str">
        <x:v>医療の機能分化・医療DX施策</x:v>
      </x:c>
      <x:c r="C6" s="22" t="str">
        <x:v>仮説</x:v>
      </x:c>
      <x:c r="D6" s="34" t="str">
        <x:v>施設ごとに更新の優先順位が変わる</x:v>
      </x:c>
      <x:c r="E6" s="34" t="str">
        <x:v>機会</x:v>
      </x:c>
      <x:c r="F6" s="34" t="n">
        <x:v>4</x:v>
      </x:c>
      <x:c r="G6" s="34" t="str">
        <x:v>公的資料で要確認</x:v>
      </x:c>
      <x:c r="H6" s="34" t="str">
        <x:v>担当者を入力</x:v>
      </x:c>
    </x:row>
    <x:row r="7" ht="35" customHeight="1">
      <x:c r="A7" s="22" t="str">
        <x:v>E｜経済</x:v>
      </x:c>
      <x:c r="B7" s="22" t="str">
        <x:v>物価・人件費の上昇</x:v>
      </x:c>
      <x:c r="C7" s="22" t="str">
        <x:v>仮説</x:v>
      </x:c>
      <x:c r="D7" s="34" t="str">
        <x:v>初期価格よりTCOが重視される可能性</x:v>
      </x:c>
      <x:c r="E7" s="34" t="str">
        <x:v>脅威/機会</x:v>
      </x:c>
      <x:c r="F7" s="34" t="n">
        <x:v>4</x:v>
      </x:c>
      <x:c r="G7" s="34" t="str">
        <x:v>公的資料で要確認</x:v>
      </x:c>
      <x:c r="H7" s="34" t="str">
        <x:v>担当者を入力</x:v>
      </x:c>
    </x:row>
    <x:row r="8" ht="35" customHeight="1">
      <x:c r="A8" s="22" t="str">
        <x:v>S｜社会</x:v>
      </x:c>
      <x:c r="B8" s="22" t="str">
        <x:v>地域の人口構成・医療人材不足</x:v>
      </x:c>
      <x:c r="C8" s="22" t="str">
        <x:v>仮説</x:v>
      </x:c>
      <x:c r="D8" s="34" t="str">
        <x:v>省人化・在宅連携の重要性が変わる</x:v>
      </x:c>
      <x:c r="E8" s="34" t="str">
        <x:v>機会</x:v>
      </x:c>
      <x:c r="F8" s="34" t="n">
        <x:v>5</x:v>
      </x:c>
      <x:c r="G8" s="34" t="str">
        <x:v>地域データで要確認</x:v>
      </x:c>
      <x:c r="H8" s="34" t="str">
        <x:v>担当者を入力</x:v>
      </x:c>
    </x:row>
    <x:row r="9" ht="35" customHeight="1">
      <x:c r="A9" s="22" t="str">
        <x:v>T｜技術</x:v>
      </x:c>
      <x:c r="B9" s="22" t="str">
        <x:v>医療DX・クラウド・AI・可搬化</x:v>
      </x:c>
      <x:c r="C9" s="22" t="str">
        <x:v>仮説</x:v>
      </x:c>
      <x:c r="D9" s="34" t="str">
        <x:v>周辺連携や運用設計が購買条件になる</x:v>
      </x:c>
      <x:c r="E9" s="34" t="str">
        <x:v>機会</x:v>
      </x:c>
      <x:c r="F9" s="34" t="n">
        <x:v>5</x:v>
      </x:c>
      <x:c r="G9" s="34" t="str">
        <x:v>技術調査で要確認</x:v>
      </x:c>
      <x:c r="H9" s="34" t="str">
        <x:v>担当者を入力</x:v>
      </x:c>
    </x:row>
    <x:row r="10">
      <x:c r="D10" s="35"/>
      <x:c r="E10" s="35"/>
      <x:c r="F10" s="35"/>
      <x:c r="G10" s="35"/>
      <x:c r="H10" s="35"/>
    </x:row>
    <x:row r="11">
      <x:c r="D11" s="35"/>
      <x:c r="E11" s="35"/>
      <x:c r="F11" s="35"/>
      <x:c r="G11" s="35"/>
      <x:c r="H11" s="35"/>
    </x:row>
    <x:row r="12">
      <x:c r="D12" s="35"/>
      <x:c r="E12" s="35"/>
      <x:c r="F12" s="35"/>
      <x:c r="G12" s="35"/>
      <x:c r="H12" s="35"/>
    </x:row>
    <x:row r="13">
      <x:c r="D13" s="35"/>
      <x:c r="E13" s="35"/>
      <x:c r="F13" s="35"/>
      <x:c r="G13" s="35"/>
      <x:c r="H13" s="35"/>
    </x:row>
    <x:row r="14">
      <x:c r="D14" s="35"/>
      <x:c r="E14" s="35"/>
      <x:c r="F14" s="35"/>
      <x:c r="G14" s="35"/>
      <x:c r="H14" s="35"/>
    </x:row>
    <x:row r="15">
      <x:c r="D15" s="35"/>
      <x:c r="E15" s="35"/>
      <x:c r="F15" s="35"/>
      <x:c r="G15" s="35"/>
      <x:c r="H15" s="35"/>
    </x:row>
    <x:row r="42">
      <x:c r="A42"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6" hidden="0" customWidth="1"/>
    <x:col min="2" max="2" width="17" hidden="0" customWidth="1"/>
    <x:col min="3" max="3" width="35" hidden="0" customWidth="1"/>
    <x:col min="4" max="4" width="23" hidden="0" customWidth="1"/>
    <x:col min="5" max="5" width="40" hidden="0" customWidth="1"/>
    <x:col min="6" max="6" width="28" hidden="0" customWidth="1"/>
    <x:col min="7" max="7" width="20" hidden="0" customWidth="1"/>
  </x:cols>
  <x:sheetData>
    <x:row r="1" ht="26" customHeight="1">
      <x:c r="A1" s="4" t="str">
        <x:v>5 Forces｜業界構造</x:v>
      </x:c>
      <x:c r="B1" s="4"/>
      <x:c r="C1" s="4"/>
      <x:c r="D1" s="4"/>
      <x:c r="E1" s="4"/>
      <x:c r="F1" s="4"/>
      <x:c r="G1" s="4"/>
      <x:c r="H1" s="4"/>
    </x:row>
    <x:row r="2" ht="26" customHeight="1">
      <x:c r="A2" s="4"/>
      <x:c r="B2" s="4"/>
      <x:c r="C2" s="4"/>
      <x:c r="D2" s="4"/>
      <x:c r="E2" s="4"/>
      <x:c r="F2" s="4"/>
      <x:c r="G2" s="4"/>
      <x:c r="H2" s="4"/>
    </x:row>
    <x:row r="3" ht="30" customHeight="1">
      <x:c r="A3" s="10" t="str">
        <x:v>圧力を1（弱）〜5（強）で仮評価。分析はセグメントごとに実施。</x:v>
      </x:c>
      <x:c r="B3" s="10"/>
      <x:c r="C3" s="10"/>
      <x:c r="D3" s="10"/>
      <x:c r="E3" s="10"/>
      <x:c r="F3" s="10"/>
      <x:c r="G3" s="10"/>
      <x:c r="H3" s="10"/>
    </x:row>
    <x:row r="5" ht="33" customHeight="1">
      <x:c r="A5" s="17" t="str">
        <x:v>圧力</x:v>
      </x:c>
      <x:c r="B5" s="17" t="str">
        <x:v>圧力1-5</x:v>
      </x:c>
      <x:c r="C5" s="17" t="str">
        <x:v>理由の仮説</x:v>
      </x:c>
      <x:c r="D5" s="17" t="str">
        <x:v>脅威・影響</x:v>
      </x:c>
      <x:c r="E5" s="17" t="str">
        <x:v>差別化の対応</x:v>
      </x:c>
      <x:c r="F5" s="17" t="str">
        <x:v>確認データ</x:v>
      </x:c>
      <x:c r="G5" s="17" t="str">
        <x:v>担当</x:v>
      </x:c>
    </x:row>
    <x:row r="6" ht="35" customHeight="1">
      <x:c r="A6" s="22" t="str">
        <x:v>既存競争</x:v>
      </x:c>
      <x:c r="B6" s="34" t="n">
        <x:v>5</x:v>
      </x:c>
      <x:c r="C6" s="34" t="str">
        <x:v>製品差と価格で競争</x:v>
      </x:c>
      <x:c r="D6" s="34" t="str">
        <x:v>利益率低下</x:v>
      </x:c>
      <x:c r="E6" s="34" t="str">
        <x:v>運用・臨床価値で比較</x:v>
      </x:c>
      <x:c r="F6" s="34" t="str">
        <x:v>競合動向</x:v>
      </x:c>
      <x:c r="G6" s="34" t="str">
        <x:v>要設定</x:v>
      </x:c>
    </x:row>
    <x:row r="7" ht="35" customHeight="1">
      <x:c r="A7" s="22" t="str">
        <x:v>買い手交渉力</x:v>
      </x:c>
      <x:c r="B7" s="34" t="n">
        <x:v>4</x:v>
      </x:c>
      <x:c r="C7" s="34" t="str">
        <x:v>大型顧客の集約購買</x:v>
      </x:c>
      <x:c r="D7" s="34" t="str">
        <x:v>値引き圧力</x:v>
      </x:c>
      <x:c r="E7" s="34" t="str">
        <x:v>費用対効果を見せる</x:v>
      </x:c>
      <x:c r="F7" s="34" t="str">
        <x:v>顧客購買条件</x:v>
      </x:c>
      <x:c r="G7" s="34" t="str">
        <x:v>要設定</x:v>
      </x:c>
    </x:row>
    <x:row r="8" ht="35" customHeight="1">
      <x:c r="A8" s="22" t="str">
        <x:v>売り手交渉力</x:v>
      </x:c>
      <x:c r="B8" s="34" t="n">
        <x:v>3</x:v>
      </x:c>
      <x:c r="C8" s="34" t="str">
        <x:v>供給・納期・価格変更</x:v>
      </x:c>
      <x:c r="D8" s="34" t="str">
        <x:v>供給制約</x:v>
      </x:c>
      <x:c r="E8" s="34" t="str">
        <x:v>調達・サービス協業</x:v>
      </x:c>
      <x:c r="F8" s="34" t="str">
        <x:v>仕入条件</x:v>
      </x:c>
      <x:c r="G8" s="34" t="str">
        <x:v>要設定</x:v>
      </x:c>
    </x:row>
    <x:row r="9" ht="35" customHeight="1">
      <x:c r="A9" s="22" t="str">
        <x:v>代替の脅威</x:v>
      </x:c>
      <x:c r="B9" s="34" t="n">
        <x:v>3</x:v>
      </x:c>
      <x:c r="C9" s="34" t="str">
        <x:v>共同利用・検査委託</x:v>
      </x:c>
      <x:c r="D9" s="34" t="str">
        <x:v>機器投資代替</x:v>
      </x:c>
      <x:c r="E9" s="34" t="str">
        <x:v>総コスト・運用を比較</x:v>
      </x:c>
      <x:c r="F9" s="34" t="str">
        <x:v>顧客ヒアリング</x:v>
      </x:c>
      <x:c r="G9" s="34" t="str">
        <x:v>要設定</x:v>
      </x:c>
    </x:row>
    <x:row r="10" ht="35" customHeight="1">
      <x:c r="A10" s="22" t="str">
        <x:v>新規参入</x:v>
      </x:c>
      <x:c r="B10" s="34" t="n">
        <x:v>3</x:v>
      </x:c>
      <x:c r="C10" s="34" t="str">
        <x:v>IT・サービスの新興企業</x:v>
      </x:c>
      <x:c r="D10" s="34" t="str">
        <x:v>周辺価値の競争</x:v>
      </x:c>
      <x:c r="E10" s="34" t="str">
        <x:v>共創・提携の選択</x:v>
      </x:c>
      <x:c r="F10" s="34" t="str">
        <x:v>業界ニュース</x:v>
      </x:c>
      <x:c r="G10" s="34" t="str">
        <x:v>要設定</x:v>
      </x:c>
    </x:row>
    <x:row r="11">
      <x:c r="B11" s="35"/>
      <x:c r="C11" s="35"/>
      <x:c r="D11" s="35"/>
      <x:c r="E11" s="35"/>
      <x:c r="F11" s="35"/>
      <x:c r="G11" s="35"/>
    </x:row>
    <x:row r="12">
      <x:c r="B12" s="35"/>
      <x:c r="C12" s="35"/>
      <x:c r="D12" s="35"/>
      <x:c r="E12" s="35"/>
      <x:c r="F12" s="35"/>
      <x:c r="G12" s="35"/>
    </x:row>
    <x:row r="13">
      <x:c r="B13" s="35"/>
      <x:c r="C13" s="35"/>
      <x:c r="D13" s="35"/>
      <x:c r="E13" s="35"/>
      <x:c r="F13" s="35"/>
      <x:c r="G13" s="35"/>
    </x:row>
    <x:row r="14">
      <x:c r="B14" s="35"/>
      <x:c r="C14" s="35"/>
      <x:c r="D14" s="35"/>
      <x:c r="E14" s="35"/>
      <x:c r="F14" s="35"/>
      <x:c r="G14" s="35"/>
    </x:row>
    <x:row r="15">
      <x:c r="B15" s="35"/>
      <x:c r="C15" s="35"/>
      <x:c r="D15" s="35"/>
      <x:c r="E15" s="35"/>
      <x:c r="F15" s="35"/>
      <x:c r="G15" s="35"/>
    </x:row>
    <x:row r="42">
      <x:c r="A42"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2" hidden="0" customWidth="1"/>
    <x:col min="2" max="2" width="29" hidden="0" customWidth="1"/>
    <x:col min="3" max="3" width="37" hidden="0" customWidth="1"/>
    <x:col min="4" max="4" width="33" hidden="0" customWidth="1"/>
    <x:col min="5" max="5" width="39" hidden="0" customWidth="1"/>
    <x:col min="6" max="6" width="39" hidden="0" customWidth="1"/>
  </x:cols>
  <x:sheetData>
    <x:row r="1" ht="26" customHeight="1">
      <x:c r="A1" s="4" t="str">
        <x:v>3C｜顧客・競合・自社</x:v>
      </x:c>
      <x:c r="B1" s="4"/>
      <x:c r="C1" s="4"/>
      <x:c r="D1" s="4"/>
      <x:c r="E1" s="4"/>
      <x:c r="F1" s="4"/>
      <x:c r="G1" s="4"/>
      <x:c r="H1" s="4"/>
    </x:row>
    <x:row r="2" ht="26" customHeight="1">
      <x:c r="A2" s="4"/>
      <x:c r="B2" s="4"/>
      <x:c r="C2" s="4"/>
      <x:c r="D2" s="4"/>
      <x:c r="E2" s="4"/>
      <x:c r="F2" s="4"/>
      <x:c r="G2" s="4"/>
      <x:c r="H2" s="4"/>
    </x:row>
    <x:row r="3" ht="30" customHeight="1">
      <x:c r="A3" s="10" t="str">
        <x:v>自社が一方的に強いという結論ではなく、顧客価値と競争優位の重なりを探す。</x:v>
      </x:c>
      <x:c r="B3" s="10"/>
      <x:c r="C3" s="10"/>
      <x:c r="D3" s="10"/>
      <x:c r="E3" s="10"/>
      <x:c r="F3" s="10"/>
      <x:c r="G3" s="10"/>
      <x:c r="H3" s="10"/>
    </x:row>
    <x:row r="5" ht="33" customHeight="1">
      <x:c r="A5" s="17" t="str">
        <x:v>C</x:v>
      </x:c>
      <x:c r="B5" s="17" t="str">
        <x:v>観察テーマ</x:v>
      </x:c>
      <x:c r="C5" s="17" t="str">
        <x:v>現状の仮説</x:v>
      </x:c>
      <x:c r="D5" s="17" t="str">
        <x:v>裏付けデータ</x:v>
      </x:c>
      <x:c r="E5" s="17" t="str">
        <x:v>反対仮説</x:v>
      </x:c>
      <x:c r="F5" s="17" t="str">
        <x:v>意味・戦略示唆</x:v>
      </x:c>
    </x:row>
    <x:row r="6" ht="35" customHeight="1">
      <x:c r="A6" s="22" t="str">
        <x:v>Customer</x:v>
      </x:c>
      <x:c r="B6" s="22" t="str">
        <x:v>診療所・地域病院</x:v>
      </x:c>
      <x:c r="C6" s="34" t="str">
        <x:v>人員不足と運用合理化の重視</x:v>
      </x:c>
      <x:c r="D6" s="34" t="str">
        <x:v>顧客面談が必要</x:v>
      </x:c>
      <x:c r="E6" s="34" t="str">
        <x:v>価格が最大要因かもしれない</x:v>
      </x:c>
      <x:c r="F6" s="34" t="str">
        <x:v>業態別のKBFを深堀り</x:v>
      </x:c>
    </x:row>
    <x:row r="7" ht="35" customHeight="1">
      <x:c r="A7" s="22" t="str">
        <x:v>Competitor</x:v>
      </x:c>
      <x:c r="B7" s="22" t="str">
        <x:v>製品/提案/サービス</x:v>
      </x:c>
      <x:c r="C7" s="34" t="str">
        <x:v>差別化は製品スペック以外にもある</x:v>
      </x:c>
      <x:c r="D7" s="34" t="str">
        <x:v>公開競合情報</x:v>
      </x:c>
      <x:c r="E7" s="34" t="str">
        <x:v>競合の保守が優位かもしれない</x:v>
      </x:c>
      <x:c r="F7" s="34" t="str">
        <x:v>競合を価値別に比較</x:v>
      </x:c>
    </x:row>
    <x:row r="8" ht="35" customHeight="1">
      <x:c r="A8" s="22" t="str">
        <x:v>Company</x:v>
      </x:c>
      <x:c r="B8" s="22" t="str">
        <x:v>人材/顧客/協業</x:v>
      </x:c>
      <x:c r="C8" s="34" t="str">
        <x:v>既存顧客接点はある</x:v>
      </x:c>
      <x:c r="D8" s="34" t="str">
        <x:v>商談・サービス実績</x:v>
      </x:c>
      <x:c r="E8" s="34" t="str">
        <x:v>属人化しているかもしれない</x:v>
      </x:c>
      <x:c r="F8" s="34" t="str">
        <x:v>標準化と能力投資を検討</x:v>
      </x:c>
    </x:row>
    <x:row r="9">
      <x:c r="C9" s="35"/>
      <x:c r="D9" s="35"/>
      <x:c r="E9" s="35"/>
      <x:c r="F9" s="35"/>
    </x:row>
    <x:row r="10">
      <x:c r="C10" s="35"/>
      <x:c r="D10" s="35"/>
      <x:c r="E10" s="35"/>
      <x:c r="F10" s="35"/>
    </x:row>
    <x:row r="11">
      <x:c r="C11" s="35"/>
      <x:c r="D11" s="35"/>
      <x:c r="E11" s="35"/>
      <x:c r="F11" s="35"/>
    </x:row>
    <x:row r="12">
      <x:c r="C12" s="35"/>
      <x:c r="D12" s="35"/>
      <x:c r="E12" s="35"/>
      <x:c r="F12" s="35"/>
    </x:row>
    <x:row r="13">
      <x:c r="C13" s="35"/>
      <x:c r="D13" s="35"/>
      <x:c r="E13" s="35"/>
      <x:c r="F13" s="35"/>
    </x:row>
    <x:row r="14">
      <x:c r="C14" s="35"/>
      <x:c r="D14" s="35"/>
      <x:c r="E14" s="35"/>
      <x:c r="F14" s="35"/>
    </x:row>
    <x:row r="15">
      <x:c r="C15" s="35"/>
      <x:c r="D15" s="35"/>
      <x:c r="E15" s="35"/>
      <x:c r="F15" s="35"/>
    </x:row>
    <x:row r="42">
      <x:c r="A42"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9" hidden="0" customWidth="1"/>
    <x:col min="2" max="2" width="12" hidden="0" customWidth="1"/>
    <x:col min="3" max="3" width="12" hidden="0" customWidth="1"/>
    <x:col min="4" max="4" width="12" hidden="0" customWidth="1"/>
    <x:col min="5" max="5" width="12" hidden="0" customWidth="1"/>
    <x:col min="6" max="6" width="37" hidden="0" customWidth="1"/>
    <x:col min="7" max="7" width="29" hidden="0" customWidth="1"/>
  </x:cols>
  <x:sheetData>
    <x:row r="1" ht="26" customHeight="1">
      <x:c r="A1" s="4" t="str">
        <x:v>VRIO｜資源の競争優位</x:v>
      </x:c>
      <x:c r="B1" s="4"/>
      <x:c r="C1" s="4"/>
      <x:c r="D1" s="4"/>
      <x:c r="E1" s="4"/>
      <x:c r="F1" s="4"/>
      <x:c r="G1" s="4"/>
      <x:c r="H1" s="4"/>
    </x:row>
    <x:row r="2" ht="26" customHeight="1">
      <x:c r="A2" s="4"/>
      <x:c r="B2" s="4"/>
      <x:c r="C2" s="4"/>
      <x:c r="D2" s="4"/>
      <x:c r="E2" s="4"/>
      <x:c r="F2" s="4"/>
      <x:c r="G2" s="4"/>
      <x:c r="H2" s="4"/>
    </x:row>
    <x:row r="3" ht="30" customHeight="1">
      <x:c r="A3" s="10" t="str">
        <x:v>価値（V）・希少性（R）・模倣困難性（I）・組織（O）を現場根拠で評価。</x:v>
      </x:c>
      <x:c r="B3" s="10"/>
      <x:c r="C3" s="10"/>
      <x:c r="D3" s="10"/>
      <x:c r="E3" s="10"/>
      <x:c r="F3" s="10"/>
      <x:c r="G3" s="10"/>
      <x:c r="H3" s="10"/>
    </x:row>
    <x:row r="5" ht="33" customHeight="1">
      <x:c r="A5" s="17" t="str">
        <x:v>自社資源（架空）</x:v>
      </x:c>
      <x:c r="B5" s="17" t="str">
        <x:v>V</x:v>
      </x:c>
      <x:c r="C5" s="17" t="str">
        <x:v>R</x:v>
      </x:c>
      <x:c r="D5" s="17" t="str">
        <x:v>I</x:v>
      </x:c>
      <x:c r="E5" s="17" t="str">
        <x:v>O</x:v>
      </x:c>
      <x:c r="F5" s="17" t="str">
        <x:v>課題・裏付け</x:v>
      </x:c>
      <x:c r="G5" s="17" t="str">
        <x:v>次の能力投資</x:v>
      </x:c>
    </x:row>
    <x:row r="6" ht="35" customHeight="1">
      <x:c r="A6" s="22" t="str">
        <x:v>顧客接点</x:v>
      </x:c>
      <x:c r="B6" s="34" t="str">
        <x:v>Yes</x:v>
      </x:c>
      <x:c r="C6" s="34" t="str">
        <x:v>No</x:v>
      </x:c>
      <x:c r="D6" s="34" t="str">
        <x:v>No</x:v>
      </x:c>
      <x:c r="E6" s="34" t="str">
        <x:v>Yes</x:v>
      </x:c>
      <x:c r="F6" s="34" t="str">
        <x:v>営業担当に属人化していないか</x:v>
      </x:c>
      <x:c r="G6" s="34" t="str">
        <x:v>CRM共有</x:v>
      </x:c>
    </x:row>
    <x:row r="7" ht="35" customHeight="1">
      <x:c r="A7" s="22" t="str">
        <x:v>医療現場教育</x:v>
      </x:c>
      <x:c r="B7" s="34" t="str">
        <x:v>Yes</x:v>
      </x:c>
      <x:c r="C7" s="34" t="str">
        <x:v>Yes</x:v>
      </x:c>
      <x:c r="D7" s="34" t="str">
        <x:v>Yes</x:v>
      </x:c>
      <x:c r="E7" s="34" t="str">
        <x:v>No</x:v>
      </x:c>
      <x:c r="F7" s="34" t="str">
        <x:v>教材が体系化されていない</x:v>
      </x:c>
      <x:c r="G7" s="34" t="str">
        <x:v>教育チーム化</x:v>
      </x:c>
    </x:row>
    <x:row r="8" ht="35" customHeight="1">
      <x:c r="A8" s="22" t="str">
        <x:v>保守協業網</x:v>
      </x:c>
      <x:c r="B8" s="34" t="str">
        <x:v>Yes</x:v>
      </x:c>
      <x:c r="C8" s="34" t="str">
        <x:v>Yes</x:v>
      </x:c>
      <x:c r="D8" s="34" t="str">
        <x:v>No</x:v>
      </x:c>
      <x:c r="E8" s="34" t="str">
        <x:v>Yes</x:v>
      </x:c>
      <x:c r="F8" s="34" t="str">
        <x:v>提携先とのSLAを測定</x:v>
      </x:c>
      <x:c r="G8" s="34" t="str">
        <x:v>標準SLA</x:v>
      </x:c>
    </x:row>
    <x:row r="9" ht="35" customHeight="1">
      <x:c r="A9" s="22" t="str">
        <x:v>市場分析力</x:v>
      </x:c>
      <x:c r="B9" s="34" t="str">
        <x:v>Yes</x:v>
      </x:c>
      <x:c r="C9" s="34" t="str">
        <x:v>No</x:v>
      </x:c>
      <x:c r="D9" s="34" t="str">
        <x:v>No</x:v>
      </x:c>
      <x:c r="E9" s="34" t="str">
        <x:v>No</x:v>
      </x:c>
      <x:c r="F9" s="34" t="str">
        <x:v>データ取得と分析に分断</x:v>
      </x:c>
      <x:c r="G9" s="34" t="str">
        <x:v>データ整備</x:v>
      </x:c>
    </x:row>
    <x:row r="10">
      <x:c r="B10" s="35"/>
      <x:c r="C10" s="35"/>
      <x:c r="D10" s="35"/>
      <x:c r="E10" s="35"/>
      <x:c r="F10" s="35"/>
      <x:c r="G10" s="35"/>
    </x:row>
    <x:row r="11">
      <x:c r="B11" s="35"/>
      <x:c r="C11" s="35"/>
      <x:c r="D11" s="35"/>
      <x:c r="E11" s="35"/>
      <x:c r="F11" s="35"/>
      <x:c r="G11" s="35"/>
    </x:row>
    <x:row r="12">
      <x:c r="B12" s="35"/>
      <x:c r="C12" s="35"/>
      <x:c r="D12" s="35"/>
      <x:c r="E12" s="35"/>
      <x:c r="F12" s="35"/>
      <x:c r="G12" s="35"/>
    </x:row>
    <x:row r="13">
      <x:c r="B13" s="35"/>
      <x:c r="C13" s="35"/>
      <x:c r="D13" s="35"/>
      <x:c r="E13" s="35"/>
      <x:c r="F13" s="35"/>
      <x:c r="G13" s="35"/>
    </x:row>
    <x:row r="14">
      <x:c r="B14" s="35"/>
      <x:c r="C14" s="35"/>
      <x:c r="D14" s="35"/>
      <x:c r="E14" s="35"/>
      <x:c r="F14" s="35"/>
      <x:c r="G14" s="35"/>
    </x:row>
    <x:row r="15">
      <x:c r="B15" s="35"/>
      <x:c r="C15" s="35"/>
      <x:c r="D15" s="35"/>
      <x:c r="E15" s="35"/>
      <x:c r="F15" s="35"/>
      <x:c r="G15" s="35"/>
    </x:row>
    <x:row r="42">
      <x:c r="A42"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8" hidden="0" customWidth="1"/>
    <x:col min="2" max="2" width="20" hidden="0" customWidth="1"/>
    <x:col min="3" max="3" width="20" hidden="0" customWidth="1"/>
    <x:col min="4" max="4" width="18" hidden="0" customWidth="1"/>
    <x:col min="5" max="5" width="19" hidden="0" customWidth="1"/>
    <x:col min="6" max="6" width="19" hidden="0" customWidth="1"/>
    <x:col min="7" max="7" width="20" hidden="0" customWidth="1"/>
    <x:col min="8" max="8" width="72" hidden="0" customWidth="1"/>
    <x:col min="11" max="11" width="24" hidden="0" customWidth="1"/>
    <x:col min="12" max="12" width="14" hidden="0" customWidth="1"/>
  </x:cols>
  <x:sheetData>
    <x:row r="1" ht="26" customHeight="1">
      <x:c r="A1" s="4" t="str">
        <x:v>STP｜重点セグメント選択</x:v>
      </x:c>
      <x:c r="B1" s="4"/>
      <x:c r="C1" s="4"/>
      <x:c r="D1" s="4"/>
      <x:c r="E1" s="4"/>
      <x:c r="F1" s="4"/>
      <x:c r="G1" s="4"/>
      <x:c r="H1" s="4"/>
      <x:c r="K1" s="32" t="str">
        <x:v>重み（例）</x:v>
      </x:c>
      <x:c r="L1" s="32" t="str">
        <x:v>値</x:v>
      </x:c>
    </x:row>
    <x:row r="2" ht="26" customHeight="1">
      <x:c r="A2" s="4"/>
      <x:c r="B2" s="4"/>
      <x:c r="C2" s="4"/>
      <x:c r="D2" s="4"/>
      <x:c r="E2" s="4"/>
      <x:c r="F2" s="4"/>
      <x:c r="G2" s="4"/>
      <x:c r="H2" s="4"/>
      <x:c r="K2" t="str">
        <x:v>市場魅力度</x:v>
      </x:c>
      <x:c r="L2" s="40" t="n">
        <x:v>0.35</x:v>
      </x:c>
    </x:row>
    <x:row r="3" ht="30" customHeight="1">
      <x:c r="A3" s="10" t="str">
        <x:v>数値は架空の比較用。黄色の入力値と右の重みを変えると優先度指数が自動計算されます。</x:v>
      </x:c>
      <x:c r="B3" s="10"/>
      <x:c r="C3" s="10"/>
      <x:c r="D3" s="10"/>
      <x:c r="E3" s="10"/>
      <x:c r="F3" s="10"/>
      <x:c r="G3" s="10"/>
      <x:c r="H3" s="10"/>
      <x:c r="K3" t="str">
        <x:v>自社競争力</x:v>
      </x:c>
      <x:c r="L3" s="40" t="n">
        <x:v>0.3</x:v>
      </x:c>
    </x:row>
    <x:row r="4">
      <x:c r="K4" t="str">
        <x:v>収益性</x:v>
      </x:c>
      <x:c r="L4" s="40" t="n">
        <x:v>0.2</x:v>
      </x:c>
    </x:row>
    <x:row r="5" ht="33" customHeight="1">
      <x:c r="A5" s="17" t="str">
        <x:v>セグメント</x:v>
      </x:c>
      <x:c r="B5" s="17" t="str">
        <x:v>魅力度1-5</x:v>
      </x:c>
      <x:c r="C5" s="17" t="str">
        <x:v>自社競争力1-5</x:v>
      </x:c>
      <x:c r="D5" s="17" t="str">
        <x:v>収益性1-5</x:v>
      </x:c>
      <x:c r="E5" s="17" t="str">
        <x:v>実行リスク1-5</x:v>
      </x:c>
      <x:c r="F5" s="17" t="str">
        <x:v>評価指数</x:v>
      </x:c>
      <x:c r="G5" s="17" t="str">
        <x:v>例示都市</x:v>
      </x:c>
      <x:c r="H5" s="17" t="str">
        <x:v>Google Maps URL</x:v>
      </x:c>
      <x:c r="K5" t="str">
        <x:v>リスク減点</x:v>
      </x:c>
      <x:c r="L5" s="40" t="n">
        <x:v>0.15</x:v>
      </x:c>
    </x:row>
    <x:row r="6" ht="35" customHeight="1">
      <x:c r="A6" s="22" t="str">
        <x:v>診療所の装置更新</x:v>
      </x:c>
      <x:c r="B6" s="34" t="n">
        <x:v>4.5</x:v>
      </x:c>
      <x:c r="C6" s="34" t="n">
        <x:v>4.2</x:v>
      </x:c>
      <x:c r="D6" s="34" t="n">
        <x:v>4</x:v>
      </x:c>
      <x:c r="E6" s="34" t="n">
        <x:v>3.2</x:v>
      </x:c>
      <x:c r="F6" s="22" t="n">
        <x:f>ROUND(B6*$L$2+C6*$L$3+D6*$L$4-E6*$L$5,2)</x:f>
        <x:v>3.16</x:v>
      </x:c>
      <x:c r="G6" s="22" t="str">
        <x:v>東京</x:v>
      </x:c>
      <x:c r="H6" s="22" t="str">
        <x:v>https://www.google.com/maps/search/?api=1&amp;query=%E6%9D%B1%E4%BA%AC%E9%83%BD</x:v>
      </x:c>
    </x:row>
    <x:row r="7" ht="35" customHeight="1">
      <x:c r="A7" s="22" t="str">
        <x:v>地域病院の省力化</x:v>
      </x:c>
      <x:c r="B7" s="34" t="n">
        <x:v>4</x:v>
      </x:c>
      <x:c r="C7" s="34" t="n">
        <x:v>3.1</x:v>
      </x:c>
      <x:c r="D7" s="34" t="n">
        <x:v>3.7</x:v>
      </x:c>
      <x:c r="E7" s="34" t="n">
        <x:v>4</x:v>
      </x:c>
      <x:c r="F7" s="22" t="n">
        <x:f>ROUND(B7*$L$2+C7*$L$3+D7*$L$4-E7*$L$5,2)</x:f>
        <x:v>2.47</x:v>
      </x:c>
      <x:c r="G7" s="22" t="str">
        <x:v>仙台</x:v>
      </x:c>
      <x:c r="H7" s="22" t="str">
        <x:v>https://www.google.com/maps/search/?api=1&amp;query=%E4%BB%99%E5%8F%B0%E5%B8%82</x:v>
      </x:c>
    </x:row>
    <x:row r="8" ht="35" customHeight="1">
      <x:c r="A8" s="22" t="str">
        <x:v>在宅・可搬型診断</x:v>
      </x:c>
      <x:c r="B8" s="34" t="n">
        <x:v>4.4</x:v>
      </x:c>
      <x:c r="C8" s="34" t="n">
        <x:v>3.6</x:v>
      </x:c>
      <x:c r="D8" s="34" t="n">
        <x:v>3.5</x:v>
      </x:c>
      <x:c r="E8" s="34" t="n">
        <x:v>3.7</x:v>
      </x:c>
      <x:c r="F8" s="22" t="n">
        <x:f>ROUND(B8*$L$2+C8*$L$3+D8*$L$4-E8*$L$5,2)</x:f>
        <x:v>2.77</x:v>
      </x:c>
      <x:c r="G8" s="22" t="str">
        <x:v>大阪</x:v>
      </x:c>
      <x:c r="H8" s="22" t="str">
        <x:v>https://www.google.com/maps/search/?api=1&amp;query=%E5%A4%A7%E9%98%AA%E5%B8%82</x:v>
      </x:c>
    </x:row>
    <x:row r="9" ht="35" customHeight="1">
      <x:c r="A9" s="22" t="str">
        <x:v>医療DXと画像連携</x:v>
      </x:c>
      <x:c r="B9" s="34" t="n">
        <x:v>4.7</x:v>
      </x:c>
      <x:c r="C9" s="34" t="n">
        <x:v>2.5</x:v>
      </x:c>
      <x:c r="D9" s="34" t="n">
        <x:v>4.2</x:v>
      </x:c>
      <x:c r="E9" s="34" t="n">
        <x:v>4.4</x:v>
      </x:c>
      <x:c r="F9" s="22" t="n">
        <x:f>ROUND(B9*$L$2+C9*$L$3+D9*$L$4-E9*$L$5,2)</x:f>
        <x:v>2.58</x:v>
      </x:c>
      <x:c r="G9" s="22" t="str">
        <x:v>名古屋</x:v>
      </x:c>
      <x:c r="H9" s="22" t="str">
        <x:v>https://www.google.com/maps/search/?api=1&amp;query=%E5%90%8D%E5%8F%A4%E5%B1%8B%E5%B8%82</x:v>
      </x:c>
    </x:row>
    <x:row r="10" ht="35" customHeight="1">
      <x:c r="A10" s="22" t="str">
        <x:v>新規開業ワンストップ</x:v>
      </x:c>
      <x:c r="B10" s="34" t="n">
        <x:v>3.8</x:v>
      </x:c>
      <x:c r="C10" s="34" t="n">
        <x:v>4</x:v>
      </x:c>
      <x:c r="D10" s="34" t="n">
        <x:v>3.8</x:v>
      </x:c>
      <x:c r="E10" s="34" t="n">
        <x:v>3.1</x:v>
      </x:c>
      <x:c r="F10" s="22" t="n">
        <x:f>ROUND(B10*$L$2+C10*$L$3+D10*$L$4-E10*$L$5,2)</x:f>
        <x:v>2.83</x:v>
      </x:c>
      <x:c r="G10" s="22" t="str">
        <x:v>福岡</x:v>
      </x:c>
      <x:c r="H10" s="22" t="str">
        <x:v>https://www.google.com/maps/search/?api=1&amp;query=%E7%A6%8F%E5%B2%A1%E5%B8%82</x:v>
      </x:c>
    </x:row>
    <x:row r="20">
      <x:c r="A20"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2" hidden="0" customWidth="1"/>
    <x:col min="2" max="2" width="26" hidden="0" customWidth="1"/>
    <x:col min="3" max="3" width="43" hidden="0" customWidth="1"/>
    <x:col min="4" max="4" width="32" hidden="0" customWidth="1"/>
    <x:col min="5" max="5" width="36" hidden="0" customWidth="1"/>
    <x:col min="6" max="6" width="41" hidden="0" customWidth="1"/>
  </x:cols>
  <x:sheetData>
    <x:row r="1" ht="26" customHeight="1">
      <x:c r="A1" s="4" t="str">
        <x:v>4P/4C｜顧客への価値提案</x:v>
      </x:c>
      <x:c r="B1" s="4"/>
      <x:c r="C1" s="4"/>
      <x:c r="D1" s="4"/>
      <x:c r="E1" s="4"/>
      <x:c r="F1" s="4"/>
      <x:c r="G1" s="4"/>
      <x:c r="H1" s="4"/>
    </x:row>
    <x:row r="2" ht="26" customHeight="1">
      <x:c r="A2" s="4"/>
      <x:c r="B2" s="4"/>
      <x:c r="C2" s="4"/>
      <x:c r="D2" s="4"/>
      <x:c r="E2" s="4"/>
      <x:c r="F2" s="4"/>
      <x:c r="G2" s="4"/>
      <x:c r="H2" s="4"/>
    </x:row>
    <x:row r="3" ht="30" customHeight="1">
      <x:c r="A3" s="10" t="str">
        <x:v>売り手の都合を顧客価値・総費用・利便性・対話で問い直す。</x:v>
      </x:c>
      <x:c r="B3" s="10"/>
      <x:c r="C3" s="10"/>
      <x:c r="D3" s="10"/>
      <x:c r="E3" s="10"/>
      <x:c r="F3" s="10"/>
      <x:c r="G3" s="10"/>
      <x:c r="H3" s="10"/>
    </x:row>
    <x:row r="5" ht="33" customHeight="1">
      <x:c r="A5" s="17" t="str">
        <x:v>4P</x:v>
      </x:c>
      <x:c r="B5" s="17" t="str">
        <x:v>4C</x:v>
      </x:c>
      <x:c r="C5" s="17" t="str">
        <x:v>顧客に問うこと</x:v>
      </x:c>
      <x:c r="D5" s="17" t="str">
        <x:v>現在の施策（記入）</x:v>
      </x:c>
      <x:c r="E5" s="17" t="str">
        <x:v>改善策（記入）</x:v>
      </x:c>
      <x:c r="F5" s="17" t="str">
        <x:v>顧客に聞く質問</x:v>
      </x:c>
    </x:row>
    <x:row r="6" ht="35" customHeight="1">
      <x:c r="A6" s="22" t="str">
        <x:v>Product</x:v>
      </x:c>
      <x:c r="B6" s="22" t="str">
        <x:v>Customer Value</x:v>
      </x:c>
      <x:c r="C6" s="22" t="str">
        <x:v>臨床・運用・経営の何が改善？</x:v>
      </x:c>
      <x:c r="D6" s="34" t="str">
        <x:v>装置説明</x:v>
      </x:c>
      <x:c r="E6" s="34" t="str">
        <x:v>価値提案カード</x:v>
      </x:c>
      <x:c r="F6" s="34" t="str">
        <x:v>導入後に何が変わる？</x:v>
      </x:c>
    </x:row>
    <x:row r="7" ht="35" customHeight="1">
      <x:c r="A7" s="22" t="str">
        <x:v>Price</x:v>
      </x:c>
      <x:c r="B7" s="22" t="str">
        <x:v>Customer Cost</x:v>
      </x:c>
      <x:c r="C7" s="22" t="str">
        <x:v>TCO・導入負担を含む費用は？</x:v>
      </x:c>
      <x:c r="D7" s="34" t="str">
        <x:v>価格提示</x:v>
      </x:c>
      <x:c r="E7" s="34" t="str">
        <x:v>運用コスト比較</x:v>
      </x:c>
      <x:c r="F7" s="34" t="str">
        <x:v>負担になっている費用は？</x:v>
      </x:c>
    </x:row>
    <x:row r="8" ht="35" customHeight="1">
      <x:c r="A8" s="22" t="str">
        <x:v>Place</x:v>
      </x:c>
      <x:c r="B8" s="22" t="str">
        <x:v>Convenience</x:v>
      </x:c>
      <x:c r="C8" s="22" t="str">
        <x:v>購入・導入・保守の利便性は？</x:v>
      </x:c>
      <x:c r="D8" s="34" t="str">
        <x:v>商社訪問</x:v>
      </x:c>
      <x:c r="E8" s="34" t="str">
        <x:v>教育・保守導線</x:v>
      </x:c>
      <x:c r="F8" s="34" t="str">
        <x:v>誰にいつ支援が必要？</x:v>
      </x:c>
    </x:row>
    <x:row r="9" ht="35" customHeight="1">
      <x:c r="A9" s="22" t="str">
        <x:v>Promotion</x:v>
      </x:c>
      <x:c r="B9" s="22" t="str">
        <x:v>Communication</x:v>
      </x:c>
      <x:c r="C9" s="22" t="str">
        <x:v>DMUと対話できているか？</x:v>
      </x:c>
      <x:c r="D9" s="34" t="str">
        <x:v>展示会</x:v>
      </x:c>
      <x:c r="E9" s="34" t="str">
        <x:v>課題別の双方向対話</x:v>
      </x:c>
      <x:c r="F9" s="34" t="str">
        <x:v>誰が決定に関与する？</x:v>
      </x:c>
    </x:row>
    <x:row r="10">
      <x:c r="D10" s="35"/>
      <x:c r="E10" s="35"/>
      <x:c r="F10" s="35"/>
    </x:row>
    <x:row r="11">
      <x:c r="D11" s="35"/>
      <x:c r="E11" s="35"/>
      <x:c r="F11" s="35"/>
    </x:row>
    <x:row r="12">
      <x:c r="D12" s="35"/>
      <x:c r="E12" s="35"/>
      <x:c r="F12" s="35"/>
    </x:row>
    <x:row r="13">
      <x:c r="D13" s="35"/>
      <x:c r="E13" s="35"/>
      <x:c r="F13" s="35"/>
    </x:row>
    <x:row r="14">
      <x:c r="D14" s="35"/>
      <x:c r="E14" s="35"/>
      <x:c r="F14" s="35"/>
    </x:row>
    <x:row r="15">
      <x:c r="D15" s="35"/>
      <x:c r="E15" s="35"/>
      <x:c r="F15" s="35"/>
    </x:row>
    <x:row r="42">
      <x:c r="A42"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2" hidden="0" customWidth="1"/>
    <x:col min="2" max="2" width="46" hidden="0" customWidth="1"/>
    <x:col min="3" max="3" width="46" hidden="0" customWidth="1"/>
    <x:col min="4" max="4" width="48" hidden="0" customWidth="1"/>
  </x:cols>
  <x:sheetData>
    <x:row r="1" ht="26" customHeight="1">
      <x:c r="A1" s="4" t="str">
        <x:v>SWOT × クロスSWOT｜戦略オプション</x:v>
      </x:c>
      <x:c r="B1" s="4"/>
      <x:c r="C1" s="4"/>
      <x:c r="D1" s="4"/>
      <x:c r="E1" s="4"/>
      <x:c r="F1" s="4"/>
      <x:c r="G1" s="4"/>
      <x:c r="H1" s="4"/>
    </x:row>
    <x:row r="2" ht="26" customHeight="1">
      <x:c r="A2" s="4"/>
      <x:c r="B2" s="4"/>
      <x:c r="C2" s="4"/>
      <x:c r="D2" s="4"/>
      <x:c r="E2" s="4"/>
      <x:c r="F2" s="4"/>
      <x:c r="G2" s="4"/>
      <x:c r="H2" s="4"/>
    </x:row>
    <x:row r="3" ht="30" customHeight="1">
      <x:c r="A3" s="10" t="str">
        <x:v>内部の強み/弱み、外部の機会/脅威の出所を明示。記入後にSO/WO/ST/WTを評価。</x:v>
      </x:c>
      <x:c r="B3" s="10"/>
      <x:c r="C3" s="10"/>
      <x:c r="D3" s="10"/>
      <x:c r="E3" s="10"/>
      <x:c r="F3" s="10"/>
      <x:c r="G3" s="10"/>
      <x:c r="H3" s="10"/>
    </x:row>
    <x:row r="5" ht="33" customHeight="1">
      <x:c r="A5" s="17" t="str">
        <x:v>区分</x:v>
      </x:c>
      <x:c r="B5" s="17" t="str">
        <x:v>分析内容（架空例）</x:v>
      </x:c>
      <x:c r="C5" s="17" t="str">
        <x:v>根拠・確認方法</x:v>
      </x:c>
      <x:c r="D5" s="17" t="str">
        <x:v>戦略案（記入）</x:v>
      </x:c>
    </x:row>
    <x:row r="6" ht="35" customHeight="1">
      <x:c r="A6" s="22" t="str">
        <x:v>S 強み</x:v>
      </x:c>
      <x:c r="B6" s="34" t="str">
        <x:v>地域顧客への接点</x:v>
      </x:c>
      <x:c r="C6" s="34" t="str">
        <x:v>営業拠点・接点の確認</x:v>
      </x:c>
      <x:c r="D6" s="34" t="str">
        <x:v>SO：顧客課題の多面接点</x:v>
      </x:c>
    </x:row>
    <x:row r="7" ht="35" customHeight="1">
      <x:c r="A7" s="22" t="str">
        <x:v>W 弱み</x:v>
      </x:c>
      <x:c r="B7" s="34" t="str">
        <x:v>教育・連携が属人的</x:v>
      </x:c>
      <x:c r="C7" s="34" t="str">
        <x:v>手順・提案品質の調査</x:v>
      </x:c>
      <x:c r="D7" s="34" t="str">
        <x:v>WO：教育の標準化</x:v>
      </x:c>
    </x:row>
    <x:row r="8" ht="35" customHeight="1">
      <x:c r="A8" s="22" t="str">
        <x:v>O 機会</x:v>
      </x:c>
      <x:c r="B8" s="34" t="str">
        <x:v>省力化・地域医療機能への需要</x:v>
      </x:c>
      <x:c r="C8" s="34" t="str">
        <x:v>自治体計画・顧客検証</x:v>
      </x:c>
      <x:c r="D8" s="34" t="str">
        <x:v>ST：差別化を強化</x:v>
      </x:c>
    </x:row>
    <x:row r="9" ht="35" customHeight="1">
      <x:c r="A9" s="22" t="str">
        <x:v>T 脅威</x:v>
      </x:c>
      <x:c r="B9" s="34" t="str">
        <x:v>価格競争・供給制約</x:v>
      </x:c>
      <x:c r="C9" s="34" t="str">
        <x:v>競争・調達動向</x:v>
      </x:c>
      <x:c r="D9" s="34" t="str">
        <x:v>WT：低収益領域の縮小</x:v>
      </x:c>
    </x:row>
    <x:row r="10" ht="35" customHeight="1">
      <x:c r="A10" s="22" t="str">
        <x:v>SO</x:v>
      </x:c>
      <x:c r="B10" s="34" t="str">
        <x:v>強み×機会</x:v>
      </x:c>
      <x:c r="C10" s="34" t="str">
        <x:v>投資効果を測る</x:v>
      </x:c>
      <x:c r="D10" s="34" t="str">
        <x:v>実行案を記入</x:v>
      </x:c>
    </x:row>
    <x:row r="11" ht="35" customHeight="1">
      <x:c r="A11" s="22" t="str">
        <x:v>WO</x:v>
      </x:c>
      <x:c r="B11" s="34" t="str">
        <x:v>弱み×機会</x:v>
      </x:c>
      <x:c r="C11" s="34" t="str">
        <x:v>能力投資を見積もる</x:v>
      </x:c>
      <x:c r="D11" s="34" t="str">
        <x:v>実行案を記入</x:v>
      </x:c>
    </x:row>
    <x:row r="12" ht="35" customHeight="1">
      <x:c r="A12" s="22" t="str">
        <x:v>ST</x:v>
      </x:c>
      <x:c r="B12" s="34" t="str">
        <x:v>強み×脅威</x:v>
      </x:c>
      <x:c r="C12" s="34" t="str">
        <x:v>競争圧力を確認</x:v>
      </x:c>
      <x:c r="D12" s="34" t="str">
        <x:v>実行案を記入</x:v>
      </x:c>
    </x:row>
    <x:row r="13" ht="35" customHeight="1">
      <x:c r="A13" s="22" t="str">
        <x:v>WT</x:v>
      </x:c>
      <x:c r="B13" s="34" t="str">
        <x:v>弱み×脅威</x:v>
      </x:c>
      <x:c r="C13" s="34" t="str">
        <x:v>撤退トリガーを定義</x:v>
      </x:c>
      <x:c r="D13" s="34" t="str">
        <x:v>実行案を記入</x:v>
      </x:c>
    </x:row>
    <x:row r="14">
      <x:c r="B14" s="35"/>
      <x:c r="C14" s="35"/>
      <x:c r="D14" s="35"/>
    </x:row>
    <x:row r="15">
      <x:c r="B15" s="35"/>
      <x:c r="C15" s="35"/>
      <x:c r="D15" s="35"/>
    </x:row>
    <x:row r="16">
      <x:c r="B16" s="35"/>
      <x:c r="C16" s="35"/>
      <x:c r="D16" s="35"/>
    </x:row>
    <x:row r="17">
      <x:c r="B17" s="35"/>
      <x:c r="C17" s="35"/>
      <x:c r="D17" s="35"/>
    </x:row>
    <x:row r="18">
      <x:c r="B18" s="35"/>
      <x:c r="C18" s="35"/>
      <x:c r="D18" s="35"/>
    </x:row>
    <x:row r="19">
      <x:c r="B19" s="35"/>
      <x:c r="C19" s="35"/>
      <x:c r="D19" s="35"/>
    </x:row>
    <x:row r="20">
      <x:c r="B20" s="35"/>
      <x:c r="C20" s="35"/>
      <x:c r="D20" s="35"/>
    </x:row>
    <x:row r="42">
      <x:c r="A42"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1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7" hidden="0" customWidth="1"/>
    <x:col min="2" max="2" width="18" hidden="0" customWidth="1"/>
    <x:col min="3" max="3" width="20" hidden="0" customWidth="1"/>
    <x:col min="4" max="4" width="13" hidden="0" customWidth="1"/>
    <x:col min="5" max="5" width="17" hidden="0" customWidth="1"/>
    <x:col min="6" max="6" width="52" hidden="0" customWidth="1"/>
    <x:col min="7" max="7" width="33" hidden="0" customWidth="1"/>
  </x:cols>
  <x:sheetData>
    <x:row r="1" ht="26" customHeight="1">
      <x:c r="A1" s="4" t="str">
        <x:v>KSF抽出 → Capability Gap → 施策</x:v>
      </x:c>
      <x:c r="B1" s="4"/>
      <x:c r="C1" s="4"/>
      <x:c r="D1" s="4"/>
      <x:c r="E1" s="4"/>
      <x:c r="F1" s="4"/>
      <x:c r="G1" s="4"/>
      <x:c r="H1" s="4"/>
    </x:row>
    <x:row r="2" ht="26" customHeight="1">
      <x:c r="A2" s="4"/>
      <x:c r="B2" s="4"/>
      <x:c r="C2" s="4"/>
      <x:c r="D2" s="4"/>
      <x:c r="E2" s="4"/>
      <x:c r="F2" s="4"/>
      <x:c r="G2" s="4"/>
      <x:c r="H2" s="4"/>
    </x:row>
    <x:row r="3" ht="30" customHeight="1">
      <x:c r="A3" s="10" t="str">
        <x:v>Gap＝MAX(重要度−現状能力,0)／優先指数＝重要度×Gap。スコアは架空で実務では根拠が必要。</x:v>
      </x:c>
      <x:c r="B3" s="10"/>
      <x:c r="C3" s="10"/>
      <x:c r="D3" s="10"/>
      <x:c r="E3" s="10"/>
      <x:c r="F3" s="10"/>
      <x:c r="G3" s="10"/>
      <x:c r="H3" s="10"/>
    </x:row>
    <x:row r="5" ht="33" customHeight="1">
      <x:c r="A5" s="17" t="str">
        <x:v>KSF</x:v>
      </x:c>
      <x:c r="B5" s="17" t="str">
        <x:v>重要度1-5</x:v>
      </x:c>
      <x:c r="C5" s="17" t="str">
        <x:v>現在能力1-5</x:v>
      </x:c>
      <x:c r="D5" s="17" t="str">
        <x:v>Gap</x:v>
      </x:c>
      <x:c r="E5" s="17" t="str">
        <x:v>優先指数</x:v>
      </x:c>
      <x:c r="F5" s="17" t="str">
        <x:v>Gapを埋める具体策</x:v>
      </x:c>
      <x:c r="G5" s="17" t="str">
        <x:v>主要KPI</x:v>
      </x:c>
    </x:row>
    <x:row r="6" ht="35" customHeight="1">
      <x:c r="A6" s="22" t="str">
        <x:v>重点顧客の解像度</x:v>
      </x:c>
      <x:c r="B6" s="34" t="n">
        <x:v>5</x:v>
      </x:c>
      <x:c r="C6" s="34" t="n">
        <x:v>3</x:v>
      </x:c>
      <x:c r="D6" s="22" t="n">
        <x:f>MAX(B6-C6,0)</x:f>
        <x:v>2</x:v>
      </x:c>
      <x:c r="E6" s="22" t="n">
        <x:f>B6*D6</x:f>
        <x:v>10</x:v>
      </x:c>
      <x:c r="F6" s="34" t="str">
        <x:v>顧客調査と更新・機能別の優先台帳</x:v>
      </x:c>
      <x:c r="G6" s="34" t="str">
        <x:v>顧客課題確認件数</x:v>
      </x:c>
    </x:row>
    <x:row r="7" ht="35" customHeight="1">
      <x:c r="A7" s="22" t="str">
        <x:v>臨床・運用・経営価値</x:v>
      </x:c>
      <x:c r="B7" s="34" t="n">
        <x:v>5</x:v>
      </x:c>
      <x:c r="C7" s="34" t="n">
        <x:v>2</x:v>
      </x:c>
      <x:c r="D7" s="22" t="n">
        <x:f>MAX(B7-C7,0)</x:f>
        <x:v>3</x:v>
      </x:c>
      <x:c r="E7" s="22" t="n">
        <x:f>B7*D7</x:f>
        <x:v>15</x:v>
      </x:c>
      <x:c r="F7" s="34" t="str">
        <x:v>3階層価値提案カードとデモ設計</x:v>
      </x:c>
      <x:c r="G7" s="34" t="str">
        <x:v>価値提案採用率</x:v>
      </x:c>
    </x:row>
    <x:row r="8" ht="35" customHeight="1">
      <x:c r="A8" s="22" t="str">
        <x:v>商談化プロセス</x:v>
      </x:c>
      <x:c r="B8" s="34" t="n">
        <x:v>4</x:v>
      </x:c>
      <x:c r="C8" s="34" t="n">
        <x:v>2</x:v>
      </x:c>
      <x:c r="D8" s="22" t="n">
        <x:f>MAX(B8-C8,0)</x:f>
        <x:v>2</x:v>
      </x:c>
      <x:c r="E8" s="22" t="n">
        <x:f>B8*D8</x:f>
        <x:v>8</x:v>
      </x:c>
      <x:c r="F8" s="34" t="str">
        <x:v>ファネル定義・DMU把握・案件化基準</x:v>
      </x:c>
      <x:c r="G8" s="34" t="str">
        <x:v>有効商談化率</x:v>
      </x:c>
    </x:row>
    <x:row r="9" ht="35" customHeight="1">
      <x:c r="A9" s="22" t="str">
        <x:v>サービス・導入後支援</x:v>
      </x:c>
      <x:c r="B9" s="34" t="n">
        <x:v>4</x:v>
      </x:c>
      <x:c r="C9" s="34" t="n">
        <x:v>3</x:v>
      </x:c>
      <x:c r="D9" s="22" t="n">
        <x:f>MAX(B9-C9,0)</x:f>
        <x:v>1</x:v>
      </x:c>
      <x:c r="E9" s="22" t="n">
        <x:f>B9*D9</x:f>
        <x:v>4</x:v>
      </x:c>
      <x:c r="F9" s="34" t="str">
        <x:v>導入後オンボーディングとQBR</x:v>
      </x:c>
      <x:c r="G9" s="34" t="str">
        <x:v>継続利用・保守付帯率</x:v>
      </x:c>
    </x:row>
    <x:row r="10" ht="35" customHeight="1">
      <x:c r="A10" s="22" t="str">
        <x:v>部門横断の実行力</x:v>
      </x:c>
      <x:c r="B10" s="34" t="n">
        <x:v>5</x:v>
      </x:c>
      <x:c r="C10" s="34" t="n">
        <x:v>2</x:v>
      </x:c>
      <x:c r="D10" s="22" t="n">
        <x:f>MAX(B10-C10,0)</x:f>
        <x:v>3</x:v>
      </x:c>
      <x:c r="E10" s="22" t="n">
        <x:f>B10*D10</x:f>
        <x:v>15</x:v>
      </x:c>
      <x:c r="F10" s="34" t="str">
        <x:v>RACIと週次意思決定を標準化</x:v>
      </x:c>
      <x:c r="G10" s="34" t="str">
        <x:v>期限内実行率</x:v>
      </x:c>
    </x:row>
    <x:row r="11" ht="35" customHeight="1">
      <x:c r="A11" s="22" t="str">
        <x:v>実験・改善の速度</x:v>
      </x:c>
      <x:c r="B11" s="34" t="n">
        <x:v>4</x:v>
      </x:c>
      <x:c r="C11" s="34" t="n">
        <x:v>2</x:v>
      </x:c>
      <x:c r="D11" s="22" t="n">
        <x:f>MAX(B11-C11,0)</x:f>
        <x:v>2</x:v>
      </x:c>
      <x:c r="E11" s="22" t="n">
        <x:f>B11*D11</x:f>
        <x:v>8</x:v>
      </x:c>
      <x:c r="F11" s="34" t="str">
        <x:v>2週間スプリント・30日レビュー</x:v>
      </x:c>
      <x:c r="G11" s="34" t="str">
        <x:v>検証済み仮説数</x:v>
      </x:c>
    </x:row>
    <x:row r="20">
      <x:c r="A20" s="24" t="str">
        <x:v>編纂：DyRO推進課 松尾 武範／ビジネスパートナー戦略企画課 伊逹浩一・山中 果菜実</x:v>
      </x:c>
    </x:row>
  </x:sheetData>
  <x:mergeCells>
    <x:mergeCell ref="A1:H2"/>
    <x:mergeCell ref="A3:H3"/>
  </x:mergeCells>
  <x:conditionalFormatting sqref="D6:E11">
    <x:cfRule type="dataBar" priority="1">
      <x:dataBar>
        <x:cfvo type="min"/>
        <x:cfvo type="max"/>
        <x:color rgb="FF14A49D"/>
      </x:dataBar>
      <x:extLst>
        <x:ext xmlns:x14="http://schemas.microsoft.com/office/spreadsheetml/2009/9/main" uri="{B025F937-C7B1-47D3-B67F-A62EFF666E3E}">
          <x14:id>{D1CEC6F4-EBFA-34A6-B087-86CCA4132AD4}</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1CEC6F4-EBFA-34A6-B087-86CCA4132AD4}">
            <x14:dataBar gradient="1">
              <x14:cfvo type="min"/>
              <x14:cfvo type="max"/>
              <x14:fillColor rgb="FF14A49D"/>
            </x14:dataBar>
          </x14:cfRule>
          <xm:sqref>D6:E11</xm:sqref>
        </x14:conditionalFormatting>
      </x14:conditionalFormattings>
    </x:ext>
  </x:extLst>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3" hidden="0" customWidth="1"/>
    <x:col min="2" max="2" width="62" hidden="0" customWidth="1"/>
    <x:col min="3" max="3" width="57" hidden="0" customWidth="1"/>
  </x:cols>
  <x:sheetData>
    <x:row r="1" ht="26" customHeight="1">
      <x:c r="A1" s="4" t="str">
        <x:v>3〜5年戦略｜戦略1枚シート</x:v>
      </x:c>
      <x:c r="B1" s="4"/>
      <x:c r="C1" s="4"/>
      <x:c r="D1" s="4"/>
      <x:c r="E1" s="4"/>
      <x:c r="F1" s="4"/>
      <x:c r="G1" s="4"/>
      <x:c r="H1" s="4"/>
    </x:row>
    <x:row r="2" ht="26" customHeight="1">
      <x:c r="A2" s="4"/>
      <x:c r="B2" s="4"/>
      <x:c r="C2" s="4"/>
      <x:c r="D2" s="4"/>
      <x:c r="E2" s="4"/>
      <x:c r="F2" s="4"/>
      <x:c r="G2" s="4"/>
      <x:c r="H2" s="4"/>
    </x:row>
    <x:row r="3" ht="30" customHeight="1">
      <x:c r="A3" s="10" t="str">
        <x:v>分析結果を意思決定へ。考えたことだけでなく「捨てること」と投資・撤退基準を明記します。</x:v>
      </x:c>
      <x:c r="B3" s="10"/>
      <x:c r="C3" s="10"/>
      <x:c r="D3" s="10"/>
      <x:c r="E3" s="10"/>
      <x:c r="F3" s="10"/>
      <x:c r="G3" s="10"/>
      <x:c r="H3" s="10"/>
    </x:row>
    <x:row r="5" ht="33" customHeight="1">
      <x:c r="A5" s="17" t="str">
        <x:v>設計項目</x:v>
      </x:c>
      <x:c r="B5" s="17" t="str">
        <x:v>自社の戦略を記入（架空回答例）</x:v>
      </x:c>
      <x:c r="C5" s="17" t="str">
        <x:v>根拠・反証・残課題</x:v>
      </x:c>
    </x:row>
    <x:row r="6" ht="35" customHeight="1">
      <x:c r="A6" s="22" t="str">
        <x:v>目的・存在意義</x:v>
      </x:c>
      <x:c r="B6" s="34" t="str">
        <x:v>地域医療の診断・運用課題を解決</x:v>
      </x:c>
      <x:c r="C6" s="34" t="str">
        <x:v>顧客への価値を再確認</x:v>
      </x:c>
    </x:row>
    <x:row r="7" ht="35" customHeight="1">
      <x:c r="A7" s="22" t="str">
        <x:v>戦う領域</x:v>
      </x:c>
      <x:c r="B7" s="34" t="str">
        <x:v>診療所の更新・導入後支援</x:v>
      </x:c>
      <x:c r="C7" s="34" t="str">
        <x:v>地域・科目・機能で絞る</x:v>
      </x:c>
    </x:row>
    <x:row r="8" ht="35" customHeight="1">
      <x:c r="A8" s="22" t="str">
        <x:v>勝ち方</x:v>
      </x:c>
      <x:c r="B8" s="34" t="str">
        <x:v>臨床・運用・経営価値を統合</x:v>
      </x:c>
      <x:c r="C8" s="34" t="str">
        <x:v>他社との差別化を検証</x:v>
      </x:c>
    </x:row>
    <x:row r="9" ht="35" customHeight="1">
      <x:c r="A9" s="22" t="str">
        <x:v>やらないこと</x:v>
      </x:c>
      <x:c r="B9" s="34" t="str">
        <x:v>根拠のない全市場の一律攻略</x:v>
      </x:c>
      <x:c r="C9" s="34" t="str">
        <x:v>停止条件を設定</x:v>
      </x:c>
    </x:row>
    <x:row r="10" ht="35" customHeight="1">
      <x:c r="A10" s="22" t="str">
        <x:v>KSF 3点</x:v>
      </x:c>
      <x:c r="B10" s="34" t="str">
        <x:v>顧客理解・価値提案・実行チーム</x:v>
      </x:c>
      <x:c r="C10" s="34" t="str">
        <x:v>Gapを定量化</x:v>
      </x:c>
    </x:row>
    <x:row r="11" ht="35" customHeight="1">
      <x:c r="A11" s="22" t="str">
        <x:v>戦略資源</x:v>
      </x:c>
      <x:c r="B11" s="34" t="str">
        <x:v>教育人材・サービス・データ</x:v>
      </x:c>
      <x:c r="C11" s="34" t="str">
        <x:v>投資判断者を設定</x:v>
      </x:c>
    </x:row>
    <x:row r="12" ht="35" customHeight="1">
      <x:c r="A12" s="22" t="str">
        <x:v>KGI</x:v>
      </x:c>
      <x:c r="B12" s="34" t="str">
        <x:v>粗利・顧客継続・売上</x:v>
      </x:c>
      <x:c r="C12" s="34" t="str">
        <x:v>年度別に設定</x:v>
      </x:c>
    </x:row>
    <x:row r="13" ht="35" customHeight="1">
      <x:c r="A13" s="22" t="str">
        <x:v>先行KPI</x:v>
      </x:c>
      <x:c r="B13" s="34" t="str">
        <x:v>有効商談、実証済み仮説、施策期限</x:v>
      </x:c>
      <x:c r="C13" s="34" t="str">
        <x:v>現場で取れる指標にする</x:v>
      </x:c>
    </x:row>
    <x:row r="14" ht="35" customHeight="1">
      <x:c r="A14" s="22" t="str">
        <x:v>最大の失敗仮説</x:v>
      </x:c>
      <x:c r="B14" s="34" t="str">
        <x:v>部門間の責任不明と価格追随</x:v>
      </x:c>
      <x:c r="C14" s="34" t="str">
        <x:v>プレモーテム結果</x:v>
      </x:c>
    </x:row>
    <x:row r="15" ht="35" customHeight="1">
      <x:c r="A15" s="22" t="str">
        <x:v>判断ゲート</x:v>
      </x:c>
      <x:c r="B15" s="34" t="str">
        <x:v>30日・60日・90日</x:v>
      </x:c>
      <x:c r="C15" s="34" t="str">
        <x:v>拡大/修正/中止</x:v>
      </x:c>
    </x:row>
    <x:row r="16">
      <x:c r="B16" s="35"/>
      <x:c r="C16" s="35"/>
    </x:row>
    <x:row r="17">
      <x:c r="B17" s="35"/>
      <x:c r="C17" s="35"/>
    </x:row>
    <x:row r="18">
      <x:c r="B18" s="35"/>
      <x:c r="C18" s="35"/>
    </x:row>
    <x:row r="19">
      <x:c r="B19" s="35"/>
      <x:c r="C19" s="35"/>
    </x:row>
    <x:row r="20">
      <x:c r="B20" s="35"/>
      <x:c r="C20" s="35"/>
    </x:row>
    <x:row r="21">
      <x:c r="B21" s="35"/>
      <x:c r="C21" s="35"/>
    </x:row>
    <x:row r="22">
      <x:c r="B22" s="35"/>
      <x:c r="C22" s="35"/>
    </x:row>
    <x:row r="24">
      <x:c r="A24"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7" hidden="0" customWidth="1"/>
    <x:col min="2" max="2" width="27" hidden="0" customWidth="1"/>
    <x:col min="3" max="3" width="17" hidden="0" customWidth="1"/>
    <x:col min="4" max="4" width="23" hidden="0" customWidth="1"/>
    <x:col min="5" max="5" width="16" hidden="0" customWidth="1"/>
    <x:col min="6" max="6" width="48" hidden="0" customWidth="1"/>
  </x:cols>
  <x:sheetData>
    <x:row r="1" ht="26" customHeight="1">
      <x:c r="A1" s="4" t="str">
        <x:v>年度別計画｜架空売上・粗利モデル</x:v>
      </x:c>
      <x:c r="B1" s="4"/>
      <x:c r="C1" s="4"/>
      <x:c r="D1" s="4"/>
      <x:c r="E1" s="4"/>
      <x:c r="F1" s="4"/>
      <x:c r="G1" s="4"/>
      <x:c r="H1" s="4"/>
    </x:row>
    <x:row r="2" ht="26" customHeight="1">
      <x:c r="A2" s="4"/>
      <x:c r="B2" s="4"/>
      <x:c r="C2" s="4"/>
      <x:c r="D2" s="4"/>
      <x:c r="E2" s="4"/>
      <x:c r="F2" s="4"/>
      <x:c r="G2" s="4"/>
      <x:c r="H2" s="4"/>
    </x:row>
    <x:row r="3" ht="30" customHeight="1">
      <x:c r="A3" s="10" t="str">
        <x:v>単位：百万円。増減率・粗利額は数式。黄色セルを自社の計画値へ差し替えてください。</x:v>
      </x:c>
      <x:c r="B3" s="10"/>
      <x:c r="C3" s="10"/>
      <x:c r="D3" s="10"/>
      <x:c r="E3" s="10"/>
      <x:c r="F3" s="10"/>
      <x:c r="G3" s="10"/>
      <x:c r="H3" s="10"/>
    </x:row>
    <x:row r="5" ht="33" customHeight="1">
      <x:c r="A5" s="17" t="str">
        <x:v>年</x:v>
      </x:c>
      <x:c r="B5" s="17" t="str">
        <x:v>売上計画（百万円）</x:v>
      </x:c>
      <x:c r="C5" s="17" t="str">
        <x:v>粗利率</x:v>
      </x:c>
      <x:c r="D5" s="17" t="str">
        <x:v>粗利額（百万円）</x:v>
      </x:c>
      <x:c r="E5" s="17" t="str">
        <x:v>前年比</x:v>
      </x:c>
      <x:c r="F5" s="17" t="str">
        <x:v>主な戦略テーマ</x:v>
      </x:c>
    </x:row>
    <x:row r="6" ht="35" customHeight="1">
      <x:c r="A6" s="22" t="n">
        <x:v>2026</x:v>
      </x:c>
      <x:c r="B6" s="34" t="n">
        <x:v>1000</x:v>
      </x:c>
      <x:c r="C6" s="42" t="n">
        <x:v>0.18</x:v>
      </x:c>
      <x:c r="D6" s="22" t="n">
        <x:f>B6*C6</x:f>
        <x:v>180</x:v>
      </x:c>
      <x:c r="E6" s="22"/>
      <x:c r="F6" s="34" t="str">
        <x:v>基準年・仮説設定</x:v>
      </x:c>
    </x:row>
    <x:row r="7" ht="35" customHeight="1">
      <x:c r="A7" s="22" t="n">
        <x:v>2027</x:v>
      </x:c>
      <x:c r="B7" s="34" t="n">
        <x:v>1080</x:v>
      </x:c>
      <x:c r="C7" s="42" t="n">
        <x:v>0.19</x:v>
      </x:c>
      <x:c r="D7" s="22" t="n">
        <x:f>B7*C7</x:f>
        <x:v>205.2</x:v>
      </x:c>
      <x:c r="E7" s="26" t="n">
        <x:f>IFERROR(B7/B6-1,0)</x:f>
        <x:v>0.08000000000000007</x:v>
      </x:c>
      <x:c r="F7" s="34" t="str">
        <x:v>実証・標準化</x:v>
      </x:c>
    </x:row>
    <x:row r="8" ht="35" customHeight="1">
      <x:c r="A8" s="22" t="n">
        <x:v>2028</x:v>
      </x:c>
      <x:c r="B8" s="34" t="n">
        <x:v>1180</x:v>
      </x:c>
      <x:c r="C8" s="42" t="n">
        <x:v>0.2</x:v>
      </x:c>
      <x:c r="D8" s="22" t="n">
        <x:f>B8*C8</x:f>
        <x:v>236</x:v>
      </x:c>
      <x:c r="E8" s="26" t="n">
        <x:f>IFERROR(B8/B7-1,0)</x:f>
        <x:v>0.09259259259259256</x:v>
      </x:c>
      <x:c r="F8" s="34" t="str">
        <x:v>教育・部門連携</x:v>
      </x:c>
    </x:row>
    <x:row r="9" ht="35" customHeight="1">
      <x:c r="A9" s="22" t="n">
        <x:v>2029</x:v>
      </x:c>
      <x:c r="B9" s="34" t="n">
        <x:v>1300</x:v>
      </x:c>
      <x:c r="C9" s="42" t="n">
        <x:v>0.21</x:v>
      </x:c>
      <x:c r="D9" s="22" t="n">
        <x:f>B9*C9</x:f>
        <x:v>273</x:v>
      </x:c>
      <x:c r="E9" s="26" t="n">
        <x:f>IFERROR(B9/B8-1,0)</x:f>
        <x:v>0.10169491525423724</x:v>
      </x:c>
      <x:c r="F9" s="34" t="str">
        <x:v>重点領域を横展開</x:v>
      </x:c>
    </x:row>
    <x:row r="10" ht="35" customHeight="1">
      <x:c r="A10" s="22" t="n">
        <x:v>2030</x:v>
      </x:c>
      <x:c r="B10" s="34" t="n">
        <x:v>1420</x:v>
      </x:c>
      <x:c r="C10" s="42" t="n">
        <x:v>0.22</x:v>
      </x:c>
      <x:c r="D10" s="22" t="n">
        <x:f>B10*C10</x:f>
        <x:v>312.4</x:v>
      </x:c>
      <x:c r="E10" s="26" t="n">
        <x:f>IFERROR(B10/B9-1,0)</x:f>
        <x:v>0.0923076923076922</x:v>
      </x:c>
      <x:c r="F10" s="34" t="str">
        <x:v>再配分・次期成長</x:v>
      </x:c>
    </x:row>
    <x:row r="16">
      <x:c r="A16"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2" hidden="0" customWidth="1"/>
    <x:col min="2" max="2" width="17" hidden="0" customWidth="1"/>
    <x:col min="3" max="3" width="25" hidden="0" customWidth="1"/>
    <x:col min="4" max="4" width="50" hidden="0" customWidth="1"/>
    <x:col min="5" max="5" width="26" hidden="0" customWidth="1"/>
  </x:cols>
  <x:sheetData>
    <x:row r="1" ht="26" customHeight="1">
      <x:c r="A1" s="4" t="str">
        <x:v>営業ファネル｜仮説と転換率</x:v>
      </x:c>
      <x:c r="B1" s="4"/>
      <x:c r="C1" s="4"/>
      <x:c r="D1" s="4"/>
      <x:c r="E1" s="4"/>
      <x:c r="F1" s="4"/>
      <x:c r="G1" s="4"/>
      <x:c r="H1" s="4"/>
    </x:row>
    <x:row r="2" ht="26" customHeight="1">
      <x:c r="A2" s="4"/>
      <x:c r="B2" s="4"/>
      <x:c r="C2" s="4"/>
      <x:c r="D2" s="4"/>
      <x:c r="E2" s="4"/>
      <x:c r="F2" s="4"/>
      <x:c r="G2" s="4"/>
      <x:c r="H2" s="4"/>
    </x:row>
    <x:row r="3" ht="30" customHeight="1">
      <x:c r="A3" s="10" t="str">
        <x:v>数値は架空の研修例。商談化の各段階定義をそろえ、歩留まりを検証。</x:v>
      </x:c>
      <x:c r="B3" s="10"/>
      <x:c r="C3" s="10"/>
      <x:c r="D3" s="10"/>
      <x:c r="E3" s="10"/>
      <x:c r="F3" s="10"/>
      <x:c r="G3" s="10"/>
      <x:c r="H3" s="10"/>
    </x:row>
    <x:row r="5" ht="33" customHeight="1">
      <x:c r="A5" s="17" t="str">
        <x:v>段階</x:v>
      </x:c>
      <x:c r="B5" s="17" t="str">
        <x:v>件数</x:v>
      </x:c>
      <x:c r="C5" s="17" t="str">
        <x:v>前段階転換率</x:v>
      </x:c>
      <x:c r="D5" s="17" t="str">
        <x:v>次の改善仮説</x:v>
      </x:c>
      <x:c r="E5" s="17" t="str">
        <x:v>責任担当</x:v>
      </x:c>
    </x:row>
    <x:row r="6" ht="35" customHeight="1">
      <x:c r="A6" s="22" t="str">
        <x:v>接触</x:v>
      </x:c>
      <x:c r="B6" s="34" t="n">
        <x:v>1500</x:v>
      </x:c>
      <x:c r="C6" s="22"/>
      <x:c r="D6" s="34" t="str">
        <x:v>顧客選定の質を上げる</x:v>
      </x:c>
      <x:c r="E6" s="34" t="str">
        <x:v>販社営業</x:v>
      </x:c>
    </x:row>
    <x:row r="7" ht="35" customHeight="1">
      <x:c r="A7" s="22" t="str">
        <x:v>課題確認</x:v>
      </x:c>
      <x:c r="B7" s="34" t="n">
        <x:v>320</x:v>
      </x:c>
      <x:c r="C7" s="26" t="n">
        <x:f>IFERROR(B7/B6,0)</x:f>
        <x:v>0.21333333333333335</x:v>
      </x:c>
      <x:c r="D7" s="34" t="str">
        <x:v>課題質問の質を高める</x:v>
      </x:c>
      <x:c r="E7" s="34" t="str">
        <x:v>営業</x:v>
      </x:c>
    </x:row>
    <x:row r="8" ht="35" customHeight="1">
      <x:c r="A8" s="22" t="str">
        <x:v>有効商談</x:v>
      </x:c>
      <x:c r="B8" s="34" t="n">
        <x:v>160</x:v>
      </x:c>
      <x:c r="C8" s="26" t="n">
        <x:f>IFERROR(B8/B7,0)</x:f>
        <x:v>0.5</x:v>
      </x:c>
      <x:c r="D8" s="34" t="str">
        <x:v>DMUと導入目的を確認</x:v>
      </x:c>
      <x:c r="E8" s="34" t="str">
        <x:v>営業・学術</x:v>
      </x:c>
    </x:row>
    <x:row r="9" ht="35" customHeight="1">
      <x:c r="A9" s="22" t="str">
        <x:v>デモ</x:v>
      </x:c>
      <x:c r="B9" s="34" t="n">
        <x:v>95</x:v>
      </x:c>
      <x:c r="C9" s="26" t="n">
        <x:f>IFERROR(B9/B8,0)</x:f>
        <x:v>0.59375</x:v>
      </x:c>
      <x:c r="D9" s="34" t="str">
        <x:v>3階層の価値を説明</x:v>
      </x:c>
      <x:c r="E9" s="34" t="str">
        <x:v>営業・技術</x:v>
      </x:c>
    </x:row>
    <x:row r="10" ht="35" customHeight="1">
      <x:c r="A10" s="22" t="str">
        <x:v>受注</x:v>
      </x:c>
      <x:c r="B10" s="34" t="n">
        <x:v>40</x:v>
      </x:c>
      <x:c r="C10" s="26" t="n">
        <x:f>IFERROR(B10/B9,0)</x:f>
        <x:v>0.42105263157894735</x:v>
      </x:c>
      <x:c r="D10" s="34" t="str">
        <x:v>意思決定障壁を除去</x:v>
      </x:c>
      <x:c r="E10" s="34" t="str">
        <x:v>営業・経営</x:v>
      </x:c>
    </x:row>
    <x:row r="15">
      <x:c r="A15"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1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61" hidden="0" customWidth="1"/>
    <x:col min="3" max="3" width="28" hidden="0" customWidth="1"/>
    <x:col min="4" max="4" width="34" hidden="0" customWidth="1"/>
    <x:col min="5" max="5" width="45" hidden="0" customWidth="1"/>
  </x:cols>
  <x:sheetData>
    <x:row r="1" ht="26" customHeight="1">
      <x:c r="A1" s="4" t="str">
        <x:v>改革チーム設計｜組織と心理的安全性</x:v>
      </x:c>
      <x:c r="B1" s="4"/>
      <x:c r="C1" s="4"/>
      <x:c r="D1" s="4"/>
      <x:c r="E1" s="4"/>
      <x:c r="F1" s="4"/>
      <x:c r="G1" s="4"/>
      <x:c r="H1" s="4"/>
    </x:row>
    <x:row r="2" ht="26" customHeight="1">
      <x:c r="A2" s="4"/>
      <x:c r="B2" s="4"/>
      <x:c r="C2" s="4"/>
      <x:c r="D2" s="4"/>
      <x:c r="E2" s="4"/>
      <x:c r="F2" s="4"/>
      <x:c r="G2" s="4"/>
      <x:c r="H2" s="4"/>
    </x:row>
    <x:row r="3" ht="30" customHeight="1">
      <x:c r="A3" s="10" t="str">
        <x:v>役職だけではチームは機能しない。専門性、意見の対立、意思決定、学習を具体化。</x:v>
      </x:c>
      <x:c r="B3" s="10"/>
      <x:c r="C3" s="10"/>
      <x:c r="D3" s="10"/>
      <x:c r="E3" s="10"/>
      <x:c r="F3" s="10"/>
      <x:c r="G3" s="10"/>
      <x:c r="H3" s="10"/>
    </x:row>
    <x:row r="5" ht="33" customHeight="1">
      <x:c r="A5" s="17" t="str">
        <x:v>機能</x:v>
      </x:c>
      <x:c r="B5" s="17" t="str">
        <x:v>責任と成果物</x:v>
      </x:c>
      <x:c r="C5" s="17" t="str">
        <x:v>立ち位置例</x:v>
      </x:c>
      <x:c r="D5" s="17" t="str">
        <x:v>現実の担当者（記入）</x:v>
      </x:c>
      <x:c r="E5" s="17" t="str">
        <x:v>定例会・関係者への共有方法</x:v>
      </x:c>
    </x:row>
    <x:row r="6" ht="35" customHeight="1">
      <x:c r="A6" s="22" t="str">
        <x:v>スポンサー</x:v>
      </x:c>
      <x:c r="B6" s="22" t="str">
        <x:v>経営資源・優先順位の最終承認</x:v>
      </x:c>
      <x:c r="C6" s="22" t="str">
        <x:v>経営企画/役員</x:v>
      </x:c>
      <x:c r="D6" s="34" t="str">
        <x:v>未定</x:v>
      </x:c>
      <x:c r="E6" s="34" t="str">
        <x:v>週次・月次を設定</x:v>
      </x:c>
    </x:row>
    <x:row r="7" ht="35" customHeight="1">
      <x:c r="A7" s="22" t="str">
        <x:v>戦略リーダー</x:v>
      </x:c>
      <x:c r="B7" s="22" t="str">
        <x:v>方針整理・競争優位の選択・統合</x:v>
      </x:c>
      <x:c r="C7" s="22" t="str">
        <x:v>営業企画/事業責任者</x:v>
      </x:c>
      <x:c r="D7" s="34" t="str">
        <x:v>未定</x:v>
      </x:c>
      <x:c r="E7" s="34" t="str">
        <x:v>週次・月次を設定</x:v>
      </x:c>
    </x:row>
    <x:row r="8" ht="35" customHeight="1">
      <x:c r="A8" s="22" t="str">
        <x:v>市場・競合分析</x:v>
      </x:c>
      <x:c r="B8" s="22" t="str">
        <x:v>PEST/3C/5F/地域市場データ</x:v>
      </x:c>
      <x:c r="C8" s="22" t="str">
        <x:v>マーケティング</x:v>
      </x:c>
      <x:c r="D8" s="34" t="str">
        <x:v>未定</x:v>
      </x:c>
      <x:c r="E8" s="34" t="str">
        <x:v>週次・月次を設定</x:v>
      </x:c>
    </x:row>
    <x:row r="9" ht="35" customHeight="1">
      <x:c r="A9" s="22" t="str">
        <x:v>臨床・運用価値</x:v>
      </x:c>
      <x:c r="B9" s="22" t="str">
        <x:v>医療現場の課題と価値の検証</x:v>
      </x:c>
      <x:c r="C9" s="22" t="str">
        <x:v>学術/技術/サービス</x:v>
      </x:c>
      <x:c r="D9" s="34" t="str">
        <x:v>未定</x:v>
      </x:c>
      <x:c r="E9" s="34" t="str">
        <x:v>週次・月次を設定</x:v>
      </x:c>
    </x:row>
    <x:row r="10" ht="35" customHeight="1">
      <x:c r="A10" s="22" t="str">
        <x:v>営業・顧客実証</x:v>
      </x:c>
      <x:c r="B10" s="22" t="str">
        <x:v>顧客ヒアリング・案件化検証</x:v>
      </x:c>
      <x:c r="C10" s="22" t="str">
        <x:v>販社/営業拠点</x:v>
      </x:c>
      <x:c r="D10" s="34" t="str">
        <x:v>未定</x:v>
      </x:c>
      <x:c r="E10" s="34" t="str">
        <x:v>週次・月次を設定</x:v>
      </x:c>
    </x:row>
    <x:row r="11" ht="35" customHeight="1">
      <x:c r="A11" s="22" t="str">
        <x:v>財務・実行管理</x:v>
      </x:c>
      <x:c r="B11" s="22" t="str">
        <x:v>収益性・投資対効果・KPI管理</x:v>
      </x:c>
      <x:c r="C11" s="22" t="str">
        <x:v>経理/PMO</x:v>
      </x:c>
      <x:c r="D11" s="34" t="str">
        <x:v>未定</x:v>
      </x:c>
      <x:c r="E11" s="34" t="str">
        <x:v>週次・月次を設定</x:v>
      </x:c>
    </x:row>
    <x:row r="12" ht="35" customHeight="1">
      <x:c r="A12" s="22" t="str">
        <x:v>反証・リスク担当</x:v>
      </x:c>
      <x:c r="B12" s="22" t="str">
        <x:v>盲点・失敗仮説・法令順守を監視</x:v>
      </x:c>
      <x:c r="C12" s="22" t="str">
        <x:v>独立レビュー担当</x:v>
      </x:c>
      <x:c r="D12" s="34" t="str">
        <x:v>未定</x:v>
      </x:c>
      <x:c r="E12" s="34" t="str">
        <x:v>週次・月次を設定</x:v>
      </x:c>
    </x:row>
    <x:row r="13">
      <x:c r="D13" s="35"/>
      <x:c r="E13" s="35"/>
    </x:row>
    <x:row r="14">
      <x:c r="D14" s="35"/>
      <x:c r="E14" s="35"/>
    </x:row>
    <x:row r="15">
      <x:c r="D15" s="35"/>
      <x:c r="E15" s="35"/>
    </x:row>
    <x:row r="16">
      <x:c r="D16" s="35"/>
      <x:c r="E16" s="35"/>
    </x:row>
    <x:row r="17">
      <x:c r="D17" s="35"/>
      <x:c r="E17" s="35"/>
    </x:row>
    <x:row r="18">
      <x:c r="A18" s="24" t="str">
        <x:v>編纂：DyRO推進課 松尾 武範／ビジネスパートナー戦略企画課 伊逹浩一・山中 果菜実</x:v>
      </x:c>
      <x:c r="D18" s="35"/>
      <x:c r="E18" s="35"/>
    </x:row>
    <x:row r="19">
      <x:c r="D19" s="35"/>
      <x:c r="E19" s="35"/>
    </x:row>
  </x:sheetData>
  <x:mergeCells>
    <x:mergeCell ref="A1:H2"/>
    <x:mergeCell ref="A3:H3"/>
  </x:mergeCells>
  <x:pageMargins left="0.7" right="0.7" top="0.75" bottom="0.75" header="0.3" footer="0.3"/>
</x:worksheet>
</file>

<file path=xl/worksheets/sheet1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8" hidden="0" customWidth="1"/>
    <x:col min="2" max="2" width="21" hidden="0" customWidth="1"/>
    <x:col min="3" max="3" width="23" hidden="0" customWidth="1"/>
    <x:col min="4" max="4" width="20" hidden="0" customWidth="1"/>
    <x:col min="5" max="5" width="21" hidden="0" customWidth="1"/>
    <x:col min="6" max="6" width="21" hidden="0" customWidth="1"/>
    <x:col min="7" max="7" width="17" hidden="0" customWidth="1"/>
  </x:cols>
  <x:sheetData>
    <x:row r="1" ht="26" customHeight="1">
      <x:c r="A1" s="4" t="str">
        <x:v>RACI｜活動別責任と相談先</x:v>
      </x:c>
      <x:c r="B1" s="4"/>
      <x:c r="C1" s="4"/>
      <x:c r="D1" s="4"/>
      <x:c r="E1" s="4"/>
      <x:c r="F1" s="4"/>
      <x:c r="G1" s="4"/>
      <x:c r="H1" s="4"/>
    </x:row>
    <x:row r="2" ht="26" customHeight="1">
      <x:c r="A2" s="4"/>
      <x:c r="B2" s="4"/>
      <x:c r="C2" s="4"/>
      <x:c r="D2" s="4"/>
      <x:c r="E2" s="4"/>
      <x:c r="F2" s="4"/>
      <x:c r="G2" s="4"/>
      <x:c r="H2" s="4"/>
    </x:row>
    <x:row r="3" ht="30" customHeight="1">
      <x:c r="A3" s="10" t="str">
        <x:v>A＝最終責任、R＝実行、C＝相談、I＝情報共有。活動ごとにAが一人であることを確認。</x:v>
      </x:c>
      <x:c r="B3" s="10"/>
      <x:c r="C3" s="10"/>
      <x:c r="D3" s="10"/>
      <x:c r="E3" s="10"/>
      <x:c r="F3" s="10"/>
      <x:c r="G3" s="10"/>
      <x:c r="H3" s="10"/>
    </x:row>
    <x:row r="5" ht="33" customHeight="1">
      <x:c r="A5" s="17" t="str">
        <x:v>活動</x:v>
      </x:c>
      <x:c r="B5" s="17" t="str">
        <x:v>スポンサー</x:v>
      </x:c>
      <x:c r="C5" s="17" t="str">
        <x:v>戦略責任者</x:v>
      </x:c>
      <x:c r="D5" s="17" t="str">
        <x:v>市場担当</x:v>
      </x:c>
      <x:c r="E5" s="17" t="str">
        <x:v>臨床・技術</x:v>
      </x:c>
      <x:c r="F5" s="17" t="str">
        <x:v>営業担当</x:v>
      </x:c>
      <x:c r="G5" s="17" t="str">
        <x:v>PMO</x:v>
      </x:c>
    </x:row>
    <x:row r="6" ht="35" customHeight="1">
      <x:c r="A6" s="22" t="str">
        <x:v>市場仮説の統合</x:v>
      </x:c>
      <x:c r="B6" s="34" t="str">
        <x:v>I</x:v>
      </x:c>
      <x:c r="C6" s="34" t="str">
        <x:v>A</x:v>
      </x:c>
      <x:c r="D6" s="34" t="str">
        <x:v>R</x:v>
      </x:c>
      <x:c r="E6" s="34" t="str">
        <x:v>C</x:v>
      </x:c>
      <x:c r="F6" s="34" t="str">
        <x:v>C</x:v>
      </x:c>
      <x:c r="G6" s="34" t="str">
        <x:v>C</x:v>
      </x:c>
    </x:row>
    <x:row r="7" ht="35" customHeight="1">
      <x:c r="A7" s="22" t="str">
        <x:v>STP/KSF策定</x:v>
      </x:c>
      <x:c r="B7" s="34" t="str">
        <x:v>C</x:v>
      </x:c>
      <x:c r="C7" s="34" t="str">
        <x:v>A</x:v>
      </x:c>
      <x:c r="D7" s="34" t="str">
        <x:v>R</x:v>
      </x:c>
      <x:c r="E7" s="34" t="str">
        <x:v>C</x:v>
      </x:c>
      <x:c r="F7" s="34" t="str">
        <x:v>R</x:v>
      </x:c>
      <x:c r="G7" s="34" t="str">
        <x:v>C</x:v>
      </x:c>
    </x:row>
    <x:row r="8" ht="35" customHeight="1">
      <x:c r="A8" s="22" t="str">
        <x:v>顧客検証</x:v>
      </x:c>
      <x:c r="B8" s="34" t="str">
        <x:v>I</x:v>
      </x:c>
      <x:c r="C8" s="34" t="str">
        <x:v>A</x:v>
      </x:c>
      <x:c r="D8" s="34" t="str">
        <x:v>C</x:v>
      </x:c>
      <x:c r="E8" s="34" t="str">
        <x:v>C</x:v>
      </x:c>
      <x:c r="F8" s="34" t="str">
        <x:v>R</x:v>
      </x:c>
      <x:c r="G8" s="34" t="str">
        <x:v>I</x:v>
      </x:c>
    </x:row>
    <x:row r="9" ht="35" customHeight="1">
      <x:c r="A9" s="22" t="str">
        <x:v>投資・人員の決定</x:v>
      </x:c>
      <x:c r="B9" s="34" t="str">
        <x:v>A</x:v>
      </x:c>
      <x:c r="C9" s="34" t="str">
        <x:v>R</x:v>
      </x:c>
      <x:c r="D9" s="34" t="str">
        <x:v>C</x:v>
      </x:c>
      <x:c r="E9" s="34" t="str">
        <x:v>C</x:v>
      </x:c>
      <x:c r="F9" s="34" t="str">
        <x:v>C</x:v>
      </x:c>
      <x:c r="G9" s="34" t="str">
        <x:v>C</x:v>
      </x:c>
    </x:row>
    <x:row r="10" ht="35" customHeight="1">
      <x:c r="A10" s="22" t="str">
        <x:v>90日計画の更新</x:v>
      </x:c>
      <x:c r="B10" s="34" t="str">
        <x:v>I</x:v>
      </x:c>
      <x:c r="C10" s="34" t="str">
        <x:v>A</x:v>
      </x:c>
      <x:c r="D10" s="34" t="str">
        <x:v>C</x:v>
      </x:c>
      <x:c r="E10" s="34" t="str">
        <x:v>C</x:v>
      </x:c>
      <x:c r="F10" s="34" t="str">
        <x:v>R</x:v>
      </x:c>
      <x:c r="G10" s="34" t="str">
        <x:v>R</x:v>
      </x:c>
    </x:row>
    <x:row r="11" ht="35" customHeight="1">
      <x:c r="A11" s="22" t="str">
        <x:v>プレモーテム</x:v>
      </x:c>
      <x:c r="B11" s="34" t="str">
        <x:v>I</x:v>
      </x:c>
      <x:c r="C11" s="34" t="str">
        <x:v>A</x:v>
      </x:c>
      <x:c r="D11" s="34" t="str">
        <x:v>C</x:v>
      </x:c>
      <x:c r="E11" s="34" t="str">
        <x:v>C</x:v>
      </x:c>
      <x:c r="F11" s="34" t="str">
        <x:v>R</x:v>
      </x:c>
      <x:c r="G11" s="34" t="str">
        <x:v>R</x:v>
      </x:c>
    </x:row>
    <x:row r="12">
      <x:c r="B12" s="35"/>
      <x:c r="C12" s="35"/>
      <x:c r="D12" s="35"/>
      <x:c r="E12" s="35"/>
      <x:c r="F12" s="35"/>
      <x:c r="G12" s="35"/>
    </x:row>
    <x:row r="13">
      <x:c r="B13" s="35"/>
      <x:c r="C13" s="35"/>
      <x:c r="D13" s="35"/>
      <x:c r="E13" s="35"/>
      <x:c r="F13" s="35"/>
      <x:c r="G13" s="35"/>
    </x:row>
    <x:row r="14">
      <x:c r="B14" s="35"/>
      <x:c r="C14" s="35"/>
      <x:c r="D14" s="35"/>
      <x:c r="E14" s="35"/>
      <x:c r="F14" s="35"/>
      <x:c r="G14" s="35"/>
    </x:row>
    <x:row r="15">
      <x:c r="B15" s="35"/>
      <x:c r="C15" s="35"/>
      <x:c r="D15" s="35"/>
      <x:c r="E15" s="35"/>
      <x:c r="F15" s="35"/>
      <x:c r="G15" s="35"/>
    </x:row>
    <x:row r="16">
      <x:c r="B16" s="35"/>
      <x:c r="C16" s="35"/>
      <x:c r="D16" s="35"/>
      <x:c r="E16" s="35"/>
      <x:c r="F16" s="35"/>
      <x:c r="G16" s="35"/>
    </x:row>
    <x:row r="17">
      <x:c r="B17" s="35"/>
      <x:c r="C17" s="35"/>
      <x:c r="D17" s="35"/>
      <x:c r="E17" s="35"/>
      <x:c r="F17" s="35"/>
      <x:c r="G17" s="35"/>
    </x:row>
    <x:row r="18">
      <x:c r="B18" s="35"/>
      <x:c r="C18" s="35"/>
      <x:c r="D18" s="35"/>
      <x:c r="E18" s="35"/>
      <x:c r="F18" s="35"/>
      <x:c r="G18" s="35"/>
    </x:row>
    <x:row r="20">
      <x:c r="A20"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1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3" hidden="0" customWidth="1"/>
    <x:col min="2" max="2" width="42" hidden="0" customWidth="1"/>
    <x:col min="3" max="3" width="18" hidden="0" customWidth="1"/>
    <x:col min="4" max="4" width="15" hidden="0" customWidth="1"/>
    <x:col min="5" max="5" width="16" hidden="0" customWidth="1"/>
    <x:col min="6" max="6" width="40" hidden="0" customWidth="1"/>
    <x:col min="7" max="7" width="56" hidden="0" customWidth="1"/>
    <x:col min="8" max="8" width="19" hidden="0" customWidth="1"/>
    <x:col min="9" max="9" width="18" hidden="0" customWidth="1"/>
  </x:cols>
  <x:sheetData>
    <x:row r="1" ht="26" customHeight="1">
      <x:c r="A1" s="4" t="str">
        <x:v>戦略が失敗する理由｜リスク台帳</x:v>
      </x:c>
      <x:c r="B1" s="4"/>
      <x:c r="C1" s="4"/>
      <x:c r="D1" s="4"/>
      <x:c r="E1" s="4"/>
      <x:c r="F1" s="4"/>
      <x:c r="G1" s="4"/>
      <x:c r="H1" s="4"/>
      <x:c r="I1" s="4"/>
    </x:row>
    <x:row r="2" ht="26" customHeight="1">
      <x:c r="A2" s="4"/>
      <x:c r="B2" s="4"/>
      <x:c r="C2" s="4"/>
      <x:c r="D2" s="4"/>
      <x:c r="E2" s="4"/>
      <x:c r="F2" s="4"/>
      <x:c r="G2" s="4"/>
      <x:c r="H2" s="4"/>
      <x:c r="I2" s="4"/>
    </x:row>
    <x:row r="3" ht="30" customHeight="1">
      <x:c r="A3" s="10" t="str">
        <x:v>失敗原因10件。確率×影響でリスク指数、事前検知指標と撤退・修正トリガーを記録。</x:v>
      </x:c>
      <x:c r="B3" s="10"/>
      <x:c r="C3" s="10"/>
      <x:c r="D3" s="10"/>
      <x:c r="E3" s="10"/>
      <x:c r="F3" s="10"/>
      <x:c r="G3" s="10"/>
      <x:c r="H3" s="10"/>
      <x:c r="I3" s="10"/>
    </x:row>
    <x:row r="5" ht="33" customHeight="1">
      <x:c r="A5" s="17" t="str">
        <x:v>失敗の理由</x:v>
      </x:c>
      <x:c r="B5" s="17" t="str">
        <x:v>主な症状</x:v>
      </x:c>
      <x:c r="C5" s="17" t="str">
        <x:v>発生確率1-5</x:v>
      </x:c>
      <x:c r="D5" s="17" t="str">
        <x:v>影響1-5</x:v>
      </x:c>
      <x:c r="E5" s="17" t="str">
        <x:v>リスク指数</x:v>
      </x:c>
      <x:c r="F5" s="17" t="str">
        <x:v>早期兆候</x:v>
      </x:c>
      <x:c r="G5" s="17" t="str">
        <x:v>予防・対応策</x:v>
      </x:c>
      <x:c r="H5" s="17" t="str">
        <x:v>担当</x:v>
      </x:c>
      <x:c r="I5" s="17" t="str">
        <x:v>判断</x:v>
      </x:c>
    </x:row>
    <x:row r="6" ht="35" customHeight="1">
      <x:c r="A6" s="22" t="str">
        <x:v>現状維持バイアス</x:v>
      </x:c>
      <x:c r="B6" s="22" t="str">
        <x:v>過去の成功を現在に無批判で適用</x:v>
      </x:c>
      <x:c r="C6" s="34" t="n">
        <x:v>2</x:v>
      </x:c>
      <x:c r="D6" s="34" t="n">
        <x:v>3</x:v>
      </x:c>
      <x:c r="E6" s="22" t="n">
        <x:f>C6*D6</x:f>
        <x:v>6</x:v>
      </x:c>
      <x:c r="F6" s="34" t="str">
        <x:v>兆候を記入</x:v>
      </x:c>
      <x:c r="G6" s="34" t="str">
        <x:v>外部変化と失われる顧客価値を定期レビュー</x:v>
      </x:c>
      <x:c r="H6" s="34" t="str">
        <x:v>未定</x:v>
      </x:c>
      <x:c r="I6" s="34" t="str">
        <x:v>未判断</x:v>
      </x:c>
    </x:row>
    <x:row r="7" ht="35" customHeight="1">
      <x:c r="A7" s="22" t="str">
        <x:v>集団浅慮</x:v>
      </x:c>
      <x:c r="B7" s="22" t="str">
        <x:v>上司や多数派に反対できない</x:v>
      </x:c>
      <x:c r="C7" s="34" t="n">
        <x:v>3</x:v>
      </x:c>
      <x:c r="D7" s="34" t="n">
        <x:v>4</x:v>
      </x:c>
      <x:c r="E7" s="22" t="n">
        <x:f>C7*D7</x:f>
        <x:v>12</x:v>
      </x:c>
      <x:c r="F7" s="34" t="str">
        <x:v>兆候を記入</x:v>
      </x:c>
      <x:c r="G7" s="34" t="str">
        <x:v>反証担当、少数意見の記録、匿名事前提出</x:v>
      </x:c>
      <x:c r="H7" s="34" t="str">
        <x:v>未定</x:v>
      </x:c>
      <x:c r="I7" s="34" t="str">
        <x:v>未判断</x:v>
      </x:c>
    </x:row>
    <x:row r="8" ht="35" customHeight="1">
      <x:c r="A8" s="22" t="str">
        <x:v>確証バイアス</x:v>
      </x:c>
      <x:c r="B8" s="22" t="str">
        <x:v>都合の良い市場データだけ選ぶ</x:v>
      </x:c>
      <x:c r="C8" s="34" t="n">
        <x:v>4</x:v>
      </x:c>
      <x:c r="D8" s="34" t="n">
        <x:v>5</x:v>
      </x:c>
      <x:c r="E8" s="22" t="n">
        <x:f>C8*D8</x:f>
        <x:v>20</x:v>
      </x:c>
      <x:c r="F8" s="34" t="str">
        <x:v>兆候を記入</x:v>
      </x:c>
      <x:c r="G8" s="34" t="str">
        <x:v>反対事例、競合顧客インタビュー</x:v>
      </x:c>
      <x:c r="H8" s="34" t="str">
        <x:v>未定</x:v>
      </x:c>
      <x:c r="I8" s="34" t="str">
        <x:v>未判断</x:v>
      </x:c>
    </x:row>
    <x:row r="9" ht="35" customHeight="1">
      <x:c r="A9" s="22" t="str">
        <x:v>目標と戦略の混同</x:v>
      </x:c>
      <x:c r="B9" s="22" t="str">
        <x:v>売上数字だけが戦略とされる</x:v>
      </x:c>
      <x:c r="C9" s="34" t="n">
        <x:v>2</x:v>
      </x:c>
      <x:c r="D9" s="34" t="n">
        <x:v>3</x:v>
      </x:c>
      <x:c r="E9" s="22" t="n">
        <x:f>C9*D9</x:f>
        <x:v>6</x:v>
      </x:c>
      <x:c r="F9" s="34" t="str">
        <x:v>兆候を記入</x:v>
      </x:c>
      <x:c r="G9" s="34" t="str">
        <x:v>対象・勝ち方・非選択を1枚に明文化</x:v>
      </x:c>
      <x:c r="H9" s="34" t="str">
        <x:v>未定</x:v>
      </x:c>
      <x:c r="I9" s="34" t="str">
        <x:v>未判断</x:v>
      </x:c>
    </x:row>
    <x:row r="10" ht="35" customHeight="1">
      <x:c r="A10" s="22" t="str">
        <x:v>資源分散</x:v>
      </x:c>
      <x:c r="B10" s="22" t="str">
        <x:v>全地域・全製品を追いかける</x:v>
      </x:c>
      <x:c r="C10" s="34" t="n">
        <x:v>3</x:v>
      </x:c>
      <x:c r="D10" s="34" t="n">
        <x:v>4</x:v>
      </x:c>
      <x:c r="E10" s="22" t="n">
        <x:f>C10*D10</x:f>
        <x:v>12</x:v>
      </x:c>
      <x:c r="F10" s="34" t="str">
        <x:v>兆候を記入</x:v>
      </x:c>
      <x:c r="G10" s="34" t="str">
        <x:v>優先順位と停止案件を明文化</x:v>
      </x:c>
      <x:c r="H10" s="34" t="str">
        <x:v>未定</x:v>
      </x:c>
      <x:c r="I10" s="34" t="str">
        <x:v>未判断</x:v>
      </x:c>
    </x:row>
    <x:row r="11" ht="35" customHeight="1">
      <x:c r="A11" s="22" t="str">
        <x:v>差別化の欠如</x:v>
      </x:c>
      <x:c r="B11" s="22" t="str">
        <x:v>価格以外の選ばれる理由がない</x:v>
      </x:c>
      <x:c r="C11" s="34" t="n">
        <x:v>4</x:v>
      </x:c>
      <x:c r="D11" s="34" t="n">
        <x:v>5</x:v>
      </x:c>
      <x:c r="E11" s="22" t="n">
        <x:f>C11*D11</x:f>
        <x:v>20</x:v>
      </x:c>
      <x:c r="F11" s="34" t="str">
        <x:v>兆候を記入</x:v>
      </x:c>
      <x:c r="G11" s="34" t="str">
        <x:v>臨床・運用・経営の価値を検証</x:v>
      </x:c>
      <x:c r="H11" s="34" t="str">
        <x:v>未定</x:v>
      </x:c>
      <x:c r="I11" s="34" t="str">
        <x:v>未判断</x:v>
      </x:c>
    </x:row>
    <x:row r="12" ht="35" customHeight="1">
      <x:c r="A12" s="22" t="str">
        <x:v>現場の巻き込み不足</x:v>
      </x:c>
      <x:c r="B12" s="22" t="str">
        <x:v>本部の計画だけで動かない</x:v>
      </x:c>
      <x:c r="C12" s="34" t="n">
        <x:v>2</x:v>
      </x:c>
      <x:c r="D12" s="34" t="n">
        <x:v>3</x:v>
      </x:c>
      <x:c r="E12" s="22" t="n">
        <x:f>C12*D12</x:f>
        <x:v>6</x:v>
      </x:c>
      <x:c r="F12" s="34" t="str">
        <x:v>兆候を記入</x:v>
      </x:c>
      <x:c r="G12" s="34" t="str">
        <x:v>現場代表を策定から参加させる</x:v>
      </x:c>
      <x:c r="H12" s="34" t="str">
        <x:v>未定</x:v>
      </x:c>
      <x:c r="I12" s="34" t="str">
        <x:v>未判断</x:v>
      </x:c>
    </x:row>
    <x:row r="13" ht="35" customHeight="1">
      <x:c r="A13" s="22" t="str">
        <x:v>責任不明・部門の壁</x:v>
      </x:c>
      <x:c r="B13" s="22" t="str">
        <x:v>誰も決定も実行もしない</x:v>
      </x:c>
      <x:c r="C13" s="34" t="n">
        <x:v>3</x:v>
      </x:c>
      <x:c r="D13" s="34" t="n">
        <x:v>4</x:v>
      </x:c>
      <x:c r="E13" s="22" t="n">
        <x:f>C13*D13</x:f>
        <x:v>12</x:v>
      </x:c>
      <x:c r="F13" s="34" t="str">
        <x:v>兆候を記入</x:v>
      </x:c>
      <x:c r="G13" s="34" t="str">
        <x:v>RACI・意思決定期限・エスカレーション</x:v>
      </x:c>
      <x:c r="H13" s="34" t="str">
        <x:v>未定</x:v>
      </x:c>
      <x:c r="I13" s="34" t="str">
        <x:v>未判断</x:v>
      </x:c>
    </x:row>
    <x:row r="14" ht="35" customHeight="1">
      <x:c r="A14" s="22" t="str">
        <x:v>実験不足・実行遅延</x:v>
      </x:c>
      <x:c r="B14" s="22" t="str">
        <x:v>会議と分析ばかり続ける</x:v>
      </x:c>
      <x:c r="C14" s="34" t="n">
        <x:v>4</x:v>
      </x:c>
      <x:c r="D14" s="34" t="n">
        <x:v>5</x:v>
      </x:c>
      <x:c r="E14" s="22" t="n">
        <x:f>C14*D14</x:f>
        <x:v>20</x:v>
      </x:c>
      <x:c r="F14" s="34" t="str">
        <x:v>兆候を記入</x:v>
      </x:c>
      <x:c r="G14" s="34" t="str">
        <x:v>90日で小さな検証とゲート判断</x:v>
      </x:c>
      <x:c r="H14" s="34" t="str">
        <x:v>未定</x:v>
      </x:c>
      <x:c r="I14" s="34" t="str">
        <x:v>未判断</x:v>
      </x:c>
    </x:row>
    <x:row r="15" ht="35" customHeight="1">
      <x:c r="A15" s="22" t="str">
        <x:v>撤退できない</x:v>
      </x:c>
      <x:c r="B15" s="22" t="str">
        <x:v>既投資を理由に損失を拡大</x:v>
      </x:c>
      <x:c r="C15" s="34" t="n">
        <x:v>2</x:v>
      </x:c>
      <x:c r="D15" s="34" t="n">
        <x:v>3</x:v>
      </x:c>
      <x:c r="E15" s="22" t="n">
        <x:f>C15*D15</x:f>
        <x:v>6</x:v>
      </x:c>
      <x:c r="F15" s="34" t="str">
        <x:v>兆候を記入</x:v>
      </x:c>
      <x:c r="G15" s="34" t="str">
        <x:v>事前に撤退トリガーと判断者を定める</x:v>
      </x:c>
      <x:c r="H15" s="34" t="str">
        <x:v>未定</x:v>
      </x:c>
      <x:c r="I15" s="34" t="str">
        <x:v>未判断</x:v>
      </x:c>
    </x:row>
    <x:row r="22">
      <x:c r="A22" s="24" t="str">
        <x:v>編纂：DyRO推進課 松尾 武範／ビジネスパートナー戦略企画課 伊逹浩一・山中 果菜実</x:v>
      </x:c>
    </x:row>
  </x:sheetData>
  <x:mergeCells>
    <x:mergeCell ref="A1:I2"/>
    <x:mergeCell ref="A3:I3"/>
  </x:mergeCells>
  <x:conditionalFormatting sqref="E6:E15">
    <x:cfRule type="colorScale" priority="1">
      <x:colorScale>
        <x:cfvo type="min"/>
        <x:cfvo type="percentile" val="50"/>
        <x:cfvo type="max"/>
        <x:color rgb="FFE8F7F2"/>
        <x:color rgb="FFF9E5A9"/>
        <x:color rgb="FFF5ACAA"/>
      </x:colorScale>
    </x:cfRule>
  </x:conditionalFormatting>
  <x:pageMargins left="0.7" right="0.7" top="0.75" bottom="0.75" header="0.3" footer="0.3"/>
</x:worksheet>
</file>

<file path=xl/worksheets/sheet1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6" hidden="0" customWidth="1"/>
    <x:col min="2" max="2" width="16" hidden="0" customWidth="1"/>
    <x:col min="3" max="3" width="60" hidden="0" customWidth="1"/>
    <x:col min="4" max="4" width="30" hidden="0" customWidth="1"/>
    <x:col min="5" max="5" width="17" hidden="0" customWidth="1"/>
    <x:col min="6" max="6" width="17" hidden="0" customWidth="1"/>
    <x:col min="7" max="7" width="60" hidden="0" customWidth="1"/>
    <x:col min="8" max="8" width="19" hidden="0" customWidth="1"/>
  </x:cols>
  <x:sheetData>
    <x:row r="1" ht="26" customHeight="1">
      <x:c r="A1" s="4" t="str">
        <x:v>90日アクション｜責任・期限・検証</x:v>
      </x:c>
      <x:c r="B1" s="4"/>
      <x:c r="C1" s="4"/>
      <x:c r="D1" s="4"/>
      <x:c r="E1" s="4"/>
      <x:c r="F1" s="4"/>
      <x:c r="G1" s="4"/>
      <x:c r="H1" s="4"/>
    </x:row>
    <x:row r="2" ht="26" customHeight="1">
      <x:c r="A2" s="4"/>
      <x:c r="B2" s="4"/>
      <x:c r="C2" s="4"/>
      <x:c r="D2" s="4"/>
      <x:c r="E2" s="4"/>
      <x:c r="F2" s="4"/>
      <x:c r="G2" s="4"/>
      <x:c r="H2" s="4"/>
    </x:row>
    <x:row r="3" ht="30" customHeight="1">
      <x:c r="A3" s="10" t="str">
        <x:v>E列の進捗状態を変更するとH列の完了フラグ、進捗一覧が変わります。</x:v>
      </x:c>
      <x:c r="B3" s="10"/>
      <x:c r="C3" s="10"/>
      <x:c r="D3" s="10"/>
      <x:c r="E3" s="10"/>
      <x:c r="F3" s="10"/>
      <x:c r="G3" s="10"/>
      <x:c r="H3" s="10"/>
    </x:row>
    <x:row r="5" ht="33" customHeight="1">
      <x:c r="A5" s="17" t="str">
        <x:v>開始日目</x:v>
      </x:c>
      <x:c r="B5" s="17" t="str">
        <x:v>終了日目</x:v>
      </x:c>
      <x:c r="C5" s="17" t="str">
        <x:v>施策・アクション</x:v>
      </x:c>
      <x:c r="D5" s="17" t="str">
        <x:v>責任者例</x:v>
      </x:c>
      <x:c r="E5" s="17" t="str">
        <x:v>状態</x:v>
      </x:c>
      <x:c r="F5" s="17" t="str">
        <x:v>分類</x:v>
      </x:c>
      <x:c r="G5" s="17" t="str">
        <x:v>検証・成果物</x:v>
      </x:c>
      <x:c r="H5" s="17" t="str">
        <x:v>完了フラグ</x:v>
      </x:c>
    </x:row>
    <x:row r="6" ht="35" customHeight="1">
      <x:c r="A6" s="22" t="n">
        <x:v>1</x:v>
      </x:c>
      <x:c r="B6" s="22" t="n">
        <x:v>7</x:v>
      </x:c>
      <x:c r="C6" s="22" t="str">
        <x:v>チーム憲章の合意</x:v>
      </x:c>
      <x:c r="D6" s="34" t="str">
        <x:v>戦略リーダー</x:v>
      </x:c>
      <x:c r="E6" s="34" t="str">
        <x:v>未着手</x:v>
      </x:c>
      <x:c r="F6" s="34" t="str">
        <x:v>チーム</x:v>
      </x:c>
      <x:c r="G6" s="34" t="str">
        <x:v>共通目的・非選択・会議規律</x:v>
      </x:c>
      <x:c r="H6" s="22" t="n">
        <x:f>IF(E6="完了",1,0)</x:f>
        <x:v>0</x:v>
      </x:c>
    </x:row>
    <x:row r="7" ht="35" customHeight="1">
      <x:c r="A7" s="22" t="n">
        <x:v>4</x:v>
      </x:c>
      <x:c r="B7" s="22" t="n">
        <x:v>14</x:v>
      </x:c>
      <x:c r="C7" s="22" t="str">
        <x:v>既存案件と顧客課題の棚卸</x:v>
      </x:c>
      <x:c r="D7" s="34" t="str">
        <x:v>市場分析担当</x:v>
      </x:c>
      <x:c r="E7" s="34" t="str">
        <x:v>未着手</x:v>
      </x:c>
      <x:c r="F7" s="34" t="str">
        <x:v>顧客</x:v>
      </x:c>
      <x:c r="G7" s="34" t="str">
        <x:v>仮説と根拠を仕分け</x:v>
      </x:c>
      <x:c r="H7" s="22" t="n">
        <x:f>IF(E7="完了",1,0)</x:f>
        <x:v>0</x:v>
      </x:c>
    </x:row>
    <x:row r="8" ht="35" customHeight="1">
      <x:c r="A8" s="22" t="n">
        <x:v>8</x:v>
      </x:c>
      <x:c r="B8" s="22" t="n">
        <x:v>21</x:v>
      </x:c>
      <x:c r="C8" s="22" t="str">
        <x:v>PEST/5F/3Cの仮説統合</x:v>
      </x:c>
      <x:c r="D8" s="34" t="str">
        <x:v>市場分析担当</x:v>
      </x:c>
      <x:c r="E8" s="34" t="str">
        <x:v>未着手</x:v>
      </x:c>
      <x:c r="F8" s="34" t="str">
        <x:v>市場</x:v>
      </x:c>
      <x:c r="G8" s="34" t="str">
        <x:v>機会・脅威を3件ずつ</x:v>
      </x:c>
      <x:c r="H8" s="22" t="n">
        <x:f>IF(E8="完了",1,0)</x:f>
        <x:v>0</x:v>
      </x:c>
    </x:row>
    <x:row r="9" ht="35" customHeight="1">
      <x:c r="A9" s="22" t="n">
        <x:v>15</x:v>
      </x:c>
      <x:c r="B9" s="22" t="n">
        <x:v>28</x:v>
      </x:c>
      <x:c r="C9" s="22" t="str">
        <x:v>STPと重点市場の暫定選択</x:v>
      </x:c>
      <x:c r="D9" s="34" t="str">
        <x:v>戦略リーダー</x:v>
      </x:c>
      <x:c r="E9" s="34" t="str">
        <x:v>未着手</x:v>
      </x:c>
      <x:c r="F9" s="34" t="str">
        <x:v>戦略</x:v>
      </x:c>
      <x:c r="G9" s="34" t="str">
        <x:v>選ばない領域も明記</x:v>
      </x:c>
      <x:c r="H9" s="22" t="n">
        <x:f>IF(E9="完了",1,0)</x:f>
        <x:v>0</x:v>
      </x:c>
    </x:row>
    <x:row r="10" ht="35" customHeight="1">
      <x:c r="A10" s="22" t="n">
        <x:v>22</x:v>
      </x:c>
      <x:c r="B10" s="22" t="n">
        <x:v>30</x:v>
      </x:c>
      <x:c r="C10" s="22" t="str">
        <x:v>KSF/Gapと実証設計</x:v>
      </x:c>
      <x:c r="D10" s="34" t="str">
        <x:v>改革コアチーム</x:v>
      </x:c>
      <x:c r="E10" s="34" t="str">
        <x:v>未着手</x:v>
      </x:c>
      <x:c r="F10" s="34" t="str">
        <x:v>戦略</x:v>
      </x:c>
      <x:c r="G10" s="34" t="str">
        <x:v>検証テーマを3つ選択</x:v>
      </x:c>
      <x:c r="H10" s="22" t="n">
        <x:f>IF(E10="完了",1,0)</x:f>
        <x:v>0</x:v>
      </x:c>
    </x:row>
    <x:row r="11" ht="35" customHeight="1">
      <x:c r="A11" s="22" t="n">
        <x:v>31</x:v>
      </x:c>
      <x:c r="B11" s="22" t="n">
        <x:v>43</x:v>
      </x:c>
      <x:c r="C11" s="22" t="str">
        <x:v>重点顧客インタビュー</x:v>
      </x:c>
      <x:c r="D11" s="34" t="str">
        <x:v>営業・顧客担当</x:v>
      </x:c>
      <x:c r="E11" s="34" t="str">
        <x:v>未着手</x:v>
      </x:c>
      <x:c r="F11" s="34" t="str">
        <x:v>顧客</x:v>
      </x:c>
      <x:c r="G11" s="34" t="str">
        <x:v>各仮説に反証質問を設定</x:v>
      </x:c>
      <x:c r="H11" s="22" t="n">
        <x:f>IF(E11="完了",1,0)</x:f>
        <x:v>0</x:v>
      </x:c>
    </x:row>
    <x:row r="12" ht="35" customHeight="1">
      <x:c r="A12" s="22" t="n">
        <x:v>37</x:v>
      </x:c>
      <x:c r="B12" s="22" t="n">
        <x:v>50</x:v>
      </x:c>
      <x:c r="C12" s="22" t="str">
        <x:v>3階層価値提案の試行</x:v>
      </x:c>
      <x:c r="D12" s="34" t="str">
        <x:v>臨床・運用価値担当</x:v>
      </x:c>
      <x:c r="E12" s="34" t="str">
        <x:v>未着手</x:v>
      </x:c>
      <x:c r="F12" s="34" t="str">
        <x:v>提案</x:v>
      </x:c>
      <x:c r="G12" s="34" t="str">
        <x:v>事例に基づく定量説明</x:v>
      </x:c>
      <x:c r="H12" s="22" t="n">
        <x:f>IF(E12="完了",1,0)</x:f>
        <x:v>0</x:v>
      </x:c>
    </x:row>
    <x:row r="13" ht="35" customHeight="1">
      <x:c r="A13" s="22" t="n">
        <x:v>45</x:v>
      </x:c>
      <x:c r="B13" s="22" t="n">
        <x:v>58</x:v>
      </x:c>
      <x:c r="C13" s="22" t="str">
        <x:v>DMUとファネル案件化基準の試行</x:v>
      </x:c>
      <x:c r="D13" s="34" t="str">
        <x:v>営業・顧客担当</x:v>
      </x:c>
      <x:c r="E13" s="34" t="str">
        <x:v>未着手</x:v>
      </x:c>
      <x:c r="F13" s="34" t="str">
        <x:v>営業</x:v>
      </x:c>
      <x:c r="G13" s="34" t="str">
        <x:v>各段階定義と転換率</x:v>
      </x:c>
      <x:c r="H13" s="22" t="n">
        <x:f>IF(E13="完了",1,0)</x:f>
        <x:v>0</x:v>
      </x:c>
    </x:row>
    <x:row r="14" ht="35" customHeight="1">
      <x:c r="A14" s="22" t="n">
        <x:v>53</x:v>
      </x:c>
      <x:c r="B14" s="22" t="n">
        <x:v>60</x:v>
      </x:c>
      <x:c r="C14" s="22" t="str">
        <x:v>中間レビューと戦略修正</x:v>
      </x:c>
      <x:c r="D14" s="34" t="str">
        <x:v>スポンサー</x:v>
      </x:c>
      <x:c r="E14" s="34" t="str">
        <x:v>未着手</x:v>
      </x:c>
      <x:c r="F14" s="34" t="str">
        <x:v>判断</x:v>
      </x:c>
      <x:c r="G14" s="34" t="str">
        <x:v>継続・修正・中止を判定</x:v>
      </x:c>
      <x:c r="H14" s="22" t="n">
        <x:f>IF(E14="完了",1,0)</x:f>
        <x:v>0</x:v>
      </x:c>
    </x:row>
    <x:row r="15" ht="35" customHeight="1">
      <x:c r="A15" s="22" t="n">
        <x:v>61</x:v>
      </x:c>
      <x:c r="B15" s="22" t="n">
        <x:v>75</x:v>
      </x:c>
      <x:c r="C15" s="22" t="str">
        <x:v>成功施策の標準化</x:v>
      </x:c>
      <x:c r="D15" s="34" t="str">
        <x:v>PMO</x:v>
      </x:c>
      <x:c r="E15" s="34" t="str">
        <x:v>未着手</x:v>
      </x:c>
      <x:c r="F15" s="34" t="str">
        <x:v>展開</x:v>
      </x:c>
      <x:c r="G15" s="34" t="str">
        <x:v>手順・教材・FAQの整備</x:v>
      </x:c>
      <x:c r="H15" s="22" t="n">
        <x:f>IF(E15="完了",1,0)</x:f>
        <x:v>0</x:v>
      </x:c>
    </x:row>
    <x:row r="16" ht="35" customHeight="1">
      <x:c r="A16" s="22" t="n">
        <x:v>72</x:v>
      </x:c>
      <x:c r="B16" s="22" t="n">
        <x:v>85</x:v>
      </x:c>
      <x:c r="C16" s="22" t="str">
        <x:v>体制・投資配分の再決定</x:v>
      </x:c>
      <x:c r="D16" s="34" t="str">
        <x:v>スポンサー</x:v>
      </x:c>
      <x:c r="E16" s="34" t="str">
        <x:v>未着手</x:v>
      </x:c>
      <x:c r="F16" s="34" t="str">
        <x:v>資源</x:v>
      </x:c>
      <x:c r="G16" s="34" t="str">
        <x:v>人員/投資/撤退領域の選択</x:v>
      </x:c>
      <x:c r="H16" s="22" t="n">
        <x:f>IF(E16="完了",1,0)</x:f>
        <x:v>0</x:v>
      </x:c>
    </x:row>
    <x:row r="17" ht="35" customHeight="1">
      <x:c r="A17" s="22" t="n">
        <x:v>85</x:v>
      </x:c>
      <x:c r="B17" s="22" t="n">
        <x:v>90</x:v>
      </x:c>
      <x:c r="C17" s="22" t="str">
        <x:v>90日レビュー・次期計画</x:v>
      </x:c>
      <x:c r="D17" s="34" t="str">
        <x:v>戦略リーダー</x:v>
      </x:c>
      <x:c r="E17" s="34" t="str">
        <x:v>未着手</x:v>
      </x:c>
      <x:c r="F17" s="34" t="str">
        <x:v>評価</x:v>
      </x:c>
      <x:c r="G17" s="34" t="str">
        <x:v>成果・学び・次の90日</x:v>
      </x:c>
      <x:c r="H17" s="22" t="n">
        <x:f>IF(E17="完了",1,0)</x:f>
        <x:v>0</x:v>
      </x:c>
    </x:row>
    <x:row r="23">
      <x:c r="A23" s="24" t="str">
        <x:v>編纂：DyRO推進課 松尾 武範／ビジネスパートナー戦略企画課 伊逹浩一・山中 果菜実</x:v>
      </x:c>
    </x:row>
  </x:sheetData>
  <x:mergeCells>
    <x:mergeCell ref="A1:H2"/>
    <x:mergeCell ref="A3:H3"/>
  </x:mergeCells>
  <x:dataValidations count="1">
    <x:dataValidation type="list" sqref="E6:E17">
      <x:formula1>"未着手,進行中,完了,中止"</x:formula1>
    </x:dataValidation>
  </x:dataValidations>
  <x:pageMargins left="0.7" right="0.7" top="0.75" bottom="0.75" header="0.3" footer="0.3"/>
</x:worksheet>
</file>

<file path=xl/worksheets/sheet1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5" hidden="0" customWidth="1"/>
    <x:col min="2" max="2" width="15" hidden="0" customWidth="1"/>
    <x:col min="3" max="3" width="21" hidden="0" customWidth="1"/>
    <x:col min="4" max="4" width="18" hidden="0" customWidth="1"/>
    <x:col min="5" max="5" width="60" hidden="0" customWidth="1"/>
  </x:cols>
  <x:sheetData>
    <x:row r="1" ht="26" customHeight="1">
      <x:c r="A1" s="4" t="str">
        <x:v>実践演習｜戦略プレゼン採点表</x:v>
      </x:c>
      <x:c r="B1" s="4"/>
      <x:c r="C1" s="4"/>
      <x:c r="D1" s="4"/>
      <x:c r="E1" s="4"/>
      <x:c r="F1" s="4"/>
      <x:c r="G1" s="4"/>
      <x:c r="H1" s="4"/>
    </x:row>
    <x:row r="2" ht="26" customHeight="1">
      <x:c r="A2" s="4"/>
      <x:c r="B2" s="4"/>
      <x:c r="C2" s="4"/>
      <x:c r="D2" s="4"/>
      <x:c r="E2" s="4"/>
      <x:c r="F2" s="4"/>
      <x:c r="G2" s="4"/>
      <x:c r="H2" s="4"/>
    </x:row>
    <x:row r="3" ht="30" customHeight="1">
      <x:c r="A3" s="10" t="str">
        <x:v>自社3〜5年戦略＋90日施策の発表を根拠・選択・差別化・実行・組織の5軸で評価。</x:v>
      </x:c>
      <x:c r="B3" s="10"/>
      <x:c r="C3" s="10"/>
      <x:c r="D3" s="10"/>
      <x:c r="E3" s="10"/>
      <x:c r="F3" s="10"/>
      <x:c r="G3" s="10"/>
      <x:c r="H3" s="10"/>
    </x:row>
    <x:row r="5" ht="33" customHeight="1">
      <x:c r="A5" s="17" t="str">
        <x:v>採点領域</x:v>
      </x:c>
      <x:c r="B5" s="17" t="str">
        <x:v>満点</x:v>
      </x:c>
      <x:c r="C5" s="17" t="str">
        <x:v>自己評価（0-20）</x:v>
      </x:c>
      <x:c r="D5" s="17" t="str">
        <x:v>評価点</x:v>
      </x:c>
      <x:c r="E5" s="17" t="str">
        <x:v>根拠・指摘事項</x:v>
      </x:c>
    </x:row>
    <x:row r="6" ht="35" customHeight="1">
      <x:c r="A6" s="22" t="str">
        <x:v>根拠・反証</x:v>
      </x:c>
      <x:c r="B6" s="22" t="n">
        <x:v>20</x:v>
      </x:c>
      <x:c r="C6" s="34" t="n">
        <x:v>0</x:v>
      </x:c>
      <x:c r="D6" s="22" t="n">
        <x:f>MIN(B6,C6)</x:f>
        <x:v>0</x:v>
      </x:c>
      <x:c r="E6" s="34" t="str">
        <x:v>Fact/Assumptionの区別</x:v>
      </x:c>
    </x:row>
    <x:row r="7" ht="35" customHeight="1">
      <x:c r="A7" s="22" t="str">
        <x:v>選択・非選択</x:v>
      </x:c>
      <x:c r="B7" s="22" t="n">
        <x:v>20</x:v>
      </x:c>
      <x:c r="C7" s="34" t="n">
        <x:v>0</x:v>
      </x:c>
      <x:c r="D7" s="22" t="n">
        <x:f>MIN(B7,C7)</x:f>
        <x:v>0</x:v>
      </x:c>
      <x:c r="E7" s="34" t="str">
        <x:v>戦う領域・撤退</x:v>
      </x:c>
    </x:row>
    <x:row r="8" ht="35" customHeight="1">
      <x:c r="A8" s="22" t="str">
        <x:v>価値・差別化</x:v>
      </x:c>
      <x:c r="B8" s="22" t="n">
        <x:v>20</x:v>
      </x:c>
      <x:c r="C8" s="34" t="n">
        <x:v>0</x:v>
      </x:c>
      <x:c r="D8" s="22" t="n">
        <x:f>MIN(B8,C8)</x:f>
        <x:v>0</x:v>
      </x:c>
      <x:c r="E8" s="34" t="str">
        <x:v>顧客にとっての価値</x:v>
      </x:c>
    </x:row>
    <x:row r="9" ht="35" customHeight="1">
      <x:c r="A9" s="22" t="str">
        <x:v>実行・KSF</x:v>
      </x:c>
      <x:c r="B9" s="22" t="n">
        <x:v>20</x:v>
      </x:c>
      <x:c r="C9" s="34" t="n">
        <x:v>0</x:v>
      </x:c>
      <x:c r="D9" s="22" t="n">
        <x:f>MIN(B9,C9)</x:f>
        <x:v>0</x:v>
      </x:c>
      <x:c r="E9" s="34" t="str">
        <x:v>90日行動と数値</x:v>
      </x:c>
    </x:row>
    <x:row r="10" ht="35" customHeight="1">
      <x:c r="A10" s="22" t="str">
        <x:v>組織・チーム</x:v>
      </x:c>
      <x:c r="B10" s="22" t="n">
        <x:v>20</x:v>
      </x:c>
      <x:c r="C10" s="34" t="n">
        <x:v>0</x:v>
      </x:c>
      <x:c r="D10" s="22" t="n">
        <x:f>MIN(B10,C10)</x:f>
        <x:v>0</x:v>
      </x:c>
      <x:c r="E10" s="34" t="str">
        <x:v>RACI・異論・学習</x:v>
      </x:c>
    </x:row>
    <x:row r="13">
      <x:c r="A13" s="45" t="str">
        <x:v>総合得点</x:v>
      </x:c>
      <x:c r="B13" s="45" t="n">
        <x:f>SUM(D6:D10)</x:f>
        <x:v>0</x:v>
      </x:c>
    </x:row>
    <x:row r="20">
      <x:c r="A20"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1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3" hidden="0" customWidth="1"/>
    <x:col min="2" max="2" width="55" hidden="0" customWidth="1"/>
    <x:col min="3" max="3" width="94" hidden="0" customWidth="1"/>
    <x:col min="4" max="4" width="22" hidden="0" customWidth="1"/>
  </x:cols>
  <x:sheetData>
    <x:row r="1" ht="26" customHeight="1">
      <x:c r="A1" s="4" t="str">
        <x:v>Google Maps と公開資料リンク</x:v>
      </x:c>
      <x:c r="B1" s="4"/>
      <x:c r="C1" s="4"/>
      <x:c r="D1" s="4"/>
      <x:c r="E1" s="4"/>
      <x:c r="F1" s="4"/>
      <x:c r="G1" s="4"/>
      <x:c r="H1" s="4"/>
    </x:row>
    <x:row r="2" ht="26" customHeight="1">
      <x:c r="A2" s="4"/>
      <x:c r="B2" s="4"/>
      <x:c r="C2" s="4"/>
      <x:c r="D2" s="4"/>
      <x:c r="E2" s="4"/>
      <x:c r="F2" s="4"/>
      <x:c r="G2" s="4"/>
      <x:c r="H2" s="4"/>
    </x:row>
    <x:row r="3" ht="30" customHeight="1">
      <x:c r="A3" s="10" t="str">
        <x:v>リンク先は地理確認の便宜であり、例示都市を市場優位と評価するものではありません。</x:v>
      </x:c>
      <x:c r="B3" s="10"/>
      <x:c r="C3" s="10"/>
      <x:c r="D3" s="10"/>
      <x:c r="E3" s="10"/>
      <x:c r="F3" s="10"/>
      <x:c r="G3" s="10"/>
      <x:c r="H3" s="10"/>
    </x:row>
    <x:row r="5" ht="33" customHeight="1">
      <x:c r="A5" s="17" t="str">
        <x:v>種別</x:v>
      </x:c>
      <x:c r="B5" s="17" t="str">
        <x:v>名前・出典</x:v>
      </x:c>
      <x:c r="C5" s="17" t="str">
        <x:v>URL</x:v>
      </x:c>
      <x:c r="D5" s="17" t="str">
        <x:v>アクセス</x:v>
      </x:c>
    </x:row>
    <x:row r="6" ht="35" customHeight="1">
      <x:c r="A6" s="22" t="str">
        <x:v>Google Maps</x:v>
      </x:c>
      <x:c r="B6" s="22" t="str">
        <x:v>仙台 / 地域医療圏の検討</x:v>
      </x:c>
      <x:c r="C6" s="48" t="str">
        <x:v>https://www.google.com/maps/search/?api=1&amp;query=%E4%BB%99%E5%8F%B0%E5%B8%82</x:v>
      </x:c>
      <x:c r="D6" s="48" t="e">
        <x:f>HYPERLINK(C6,"リンクを開く ↗")</x:f>
        <x:v>HYPERLINK is not implemented. linkLocation=https://www.google.com/maps/search/?api=1&amp;query=%E4%BB%99%E5%8F%B0%E5%B8%82, friendlyName=リンクを開く ↗</x:v>
      </x:c>
    </x:row>
    <x:row r="7" ht="35" customHeight="1">
      <x:c r="A7" s="22" t="str">
        <x:v>Google Maps</x:v>
      </x:c>
      <x:c r="B7" s="22" t="str">
        <x:v>東京 / 都市型診療所の検討</x:v>
      </x:c>
      <x:c r="C7" s="48" t="str">
        <x:v>https://www.google.com/maps/search/?api=1&amp;query=%E6%9D%B1%E4%BA%AC%E9%83%BD</x:v>
      </x:c>
      <x:c r="D7" s="48" t="e">
        <x:f>HYPERLINK(C7,"リンクを開く ↗")</x:f>
        <x:v>HYPERLINK is not implemented. linkLocation=https://www.google.com/maps/search/?api=1&amp;query=%E6%9D%B1%E4%BA%AC%E9%83%BD, friendlyName=リンクを開く ↗</x:v>
      </x:c>
    </x:row>
    <x:row r="8" ht="35" customHeight="1">
      <x:c r="A8" s="22" t="str">
        <x:v>Google Maps</x:v>
      </x:c>
      <x:c r="B8" s="22" t="str">
        <x:v>名古屋 / 複合的な医療需要の検討</x:v>
      </x:c>
      <x:c r="C8" s="48" t="str">
        <x:v>https://www.google.com/maps/search/?api=1&amp;query=%E5%90%8D%E5%8F%A4%E5%B1%8B%E5%B8%82</x:v>
      </x:c>
      <x:c r="D8" s="48" t="e">
        <x:f>HYPERLINK(C8,"リンクを開く ↗")</x:f>
        <x:v>HYPERLINK is not implemented. linkLocation=https://www.google.com/maps/search/?api=1&amp;query=%E5%90%8D%E5%8F%A4%E5%B1%8B%E5%B8%82, friendlyName=リンクを開く ↗</x:v>
      </x:c>
    </x:row>
    <x:row r="9" ht="35" customHeight="1">
      <x:c r="A9" s="22" t="str">
        <x:v>Google Maps</x:v>
      </x:c>
      <x:c r="B9" s="22" t="str">
        <x:v>大阪 / 都市・近郊の検討</x:v>
      </x:c>
      <x:c r="C9" s="48" t="str">
        <x:v>https://www.google.com/maps/search/?api=1&amp;query=%E5%A4%A7%E9%98%AA%E5%B8%82</x:v>
      </x:c>
      <x:c r="D9" s="48" t="e">
        <x:f>HYPERLINK(C9,"リンクを開く ↗")</x:f>
        <x:v>HYPERLINK is not implemented. linkLocation=https://www.google.com/maps/search/?api=1&amp;query=%E5%A4%A7%E9%98%AA%E5%B8%82, friendlyName=リンクを開く ↗</x:v>
      </x:c>
    </x:row>
    <x:row r="10" ht="35" customHeight="1">
      <x:c r="A10" s="22" t="str">
        <x:v>Google Maps</x:v>
      </x:c>
      <x:c r="B10" s="22" t="str">
        <x:v>福岡 / 広域サービス網の検討</x:v>
      </x:c>
      <x:c r="C10" s="48" t="str">
        <x:v>https://www.google.com/maps/search/?api=1&amp;query=%E7%A6%8F%E5%B2%A1%E5%B8%82</x:v>
      </x:c>
      <x:c r="D10" s="48" t="e">
        <x:f>HYPERLINK(C10,"リンクを開く ↗")</x:f>
        <x:v>HYPERLINK is not implemented. linkLocation=https://www.google.com/maps/search/?api=1&amp;query=%E7%A6%8F%E5%B2%A1%E5%B8%82, friendlyName=リンクを開く ↗</x:v>
      </x:c>
    </x:row>
    <x:row r="11" ht="35" customHeight="1">
      <x:c r="A11" s="22" t="str">
        <x:v>参考情報</x:v>
      </x:c>
      <x:c r="B11" s="22" t="str">
        <x:v>Porter / Five Forces</x:v>
      </x:c>
      <x:c r="C11" s="48" t="str">
        <x:v>https://www.isc.hbs.edu/strategy/business-strategy/Pages/the-five-forces.aspx?content_language=English</x:v>
      </x:c>
      <x:c r="D11" s="48" t="e">
        <x:f>HYPERLINK(C11,"リンクを開く ↗")</x:f>
        <x:v>HYPERLINK is not implemented. linkLocation=https://www.isc.hbs.edu/strategy/business-strategy/Pages/the-five-forces.aspx?content_language=English, friendlyName=リンクを開く ↗</x:v>
      </x:c>
    </x:row>
    <x:row r="12" ht="35" customHeight="1">
      <x:c r="A12" s="22" t="str">
        <x:v>参考情報</x:v>
      </x:c>
      <x:c r="B12" s="22" t="str">
        <x:v>Kotter / 8 Steps</x:v>
      </x:c>
      <x:c r="C12" s="48" t="str">
        <x:v>https://www.kotterinc.com/methodology/8-steps/</x:v>
      </x:c>
      <x:c r="D12" s="48" t="e">
        <x:f>HYPERLINK(C12,"リンクを開く ↗")</x:f>
        <x:v>HYPERLINK is not implemented. linkLocation=https://www.kotterinc.com/methodology/8-steps/, friendlyName=リンクを開く ↗</x:v>
      </x:c>
    </x:row>
    <x:row r="13" ht="35" customHeight="1">
      <x:c r="A13" s="22" t="str">
        <x:v>参考情報</x:v>
      </x:c>
      <x:c r="B13" s="22" t="str">
        <x:v>Google re:Work / Team Effectiveness</x:v>
      </x:c>
      <x:c r="C13" s="48" t="str">
        <x:v>https://rework.withgoogle.com/en/guides/understanding-team-effectiveness</x:v>
      </x:c>
      <x:c r="D13" s="48" t="e">
        <x:f>HYPERLINK(C13,"リンクを開く ↗")</x:f>
        <x:v>HYPERLINK is not implemented. linkLocation=https://rework.withgoogle.com/en/guides/understanding-team-effectiveness, friendlyName=リンクを開く ↗</x:v>
      </x:c>
    </x:row>
    <x:row r="14" ht="35" customHeight="1">
      <x:c r="A14" s="22" t="str">
        <x:v>参考情報</x:v>
      </x:c>
      <x:c r="B14" s="22" t="str">
        <x:v>Strategyzer / Value Proposition Canvas</x:v>
      </x:c>
      <x:c r="C14" s="48" t="str">
        <x:v>https://www.strategyzer.com/library/the-value-proposition-canvas</x:v>
      </x:c>
      <x:c r="D14" s="48" t="e">
        <x:f>HYPERLINK(C14,"リンクを開く ↗")</x:f>
        <x:v>HYPERLINK is not implemented. linkLocation=https://www.strategyzer.com/library/the-value-proposition-canvas, friendlyName=リンクを開く ↗</x:v>
      </x:c>
    </x:row>
    <x:row r="15" ht="35" customHeight="1">
      <x:c r="A15" s="22" t="str">
        <x:v>参考情報</x:v>
      </x:c>
      <x:c r="B15" s="22" t="str">
        <x:v>厚生労働省 / 医薬品等の広告規制</x:v>
      </x:c>
      <x:c r="C15" s="48" t="str">
        <x:v>https://www.mhlw.go.jp/stf/seisakunitsuite/bunya/kenkou_iryou/iyakuhin/koukokukisei/index.html</x:v>
      </x:c>
      <x:c r="D15" s="48" t="e">
        <x:f>HYPERLINK(C15,"リンクを開く ↗")</x:f>
        <x:v>HYPERLINK is not implemented. linkLocation=https://www.mhlw.go.jp/stf/seisakunitsuite/bunya/kenkou_iryou/iyakuhin/koukokukisei/index.html, friendlyName=リンクを開く ↗</x:v>
      </x:c>
    </x:row>
    <x:row r="16" ht="35" customHeight="1">
      <x:c r="A16" s="22" t="str">
        <x:v>参考情報</x:v>
      </x:c>
      <x:c r="B16" s="22" t="str">
        <x:v>厚生労働省 / 医療機器の立会いに関する基準</x:v>
      </x:c>
      <x:c r="C16" s="48" t="str">
        <x:v>https://www.mhlw.go.jp/web/t_doc?dataId=00tb3547&amp;dataType=1&amp;pageNo=1</x:v>
      </x:c>
      <x:c r="D16" s="48" t="e">
        <x:f>HYPERLINK(C16,"リンクを開く ↗")</x:f>
        <x:v>HYPERLINK is not implemented. linkLocation=https://www.mhlw.go.jp/web/t_doc?dataId=00tb3547&amp;dataType=1&amp;pageNo=1, friendlyName=リンクを開く ↗</x:v>
      </x:c>
    </x:row>
    <x:row r="17" ht="35" customHeight="1">
      <x:c r="A17" s="22" t="str">
        <x:v>参考情報</x:v>
      </x:c>
      <x:c r="B17" s="22" t="str">
        <x:v>Google Maps URL ガイド</x:v>
      </x:c>
      <x:c r="C17" s="48" t="str">
        <x:v>https://developers.google.com/maps/documentation/urls/get-started</x:v>
      </x:c>
      <x:c r="D17" s="48" t="e">
        <x:f>HYPERLINK(C17,"リンクを開く ↗")</x:f>
        <x:v>HYPERLINK is not implemented. linkLocation=https://developers.google.com/maps/documentation/urls/get-started, friendlyName=リンクを開く ↗</x:v>
      </x:c>
    </x:row>
    <x:row r="18" ht="35" customHeight="1">
      <x:c r="A18" s="22" t="str">
        <x:v>最後のリンク</x:v>
      </x:c>
      <x:c r="B18" s="22" t="str">
        <x:v>国内医療機器MKT参考</x:v>
      </x:c>
      <x:c r="C18" s="48" t="str">
        <x:v>https://sinobu13-bpei.github.io/medical-intelligence/?v=20261022-yamagata&amp;utm_source=chatgpt.com</x:v>
      </x:c>
      <x:c r="D18" s="48" t="e">
        <x:f>HYPERLINK(C18,"リンクを開く ↗")</x:f>
        <x:v>HYPERLINK is not implemented. linkLocation=https://sinobu13-bpei.github.io/medical-intelligence/?v=20261022-yamagata&amp;utm_source=chatgpt.com, friendlyName=リンクを開く ↗</x:v>
      </x:c>
    </x:row>
    <x:row r="19">
      <x:c r="C19" s="49"/>
    </x:row>
    <x:row r="20">
      <x:c r="C20" s="49"/>
    </x:row>
    <x:row r="21">
      <x:c r="C21" s="49"/>
    </x:row>
    <x:row r="22">
      <x:c r="C22" s="49"/>
    </x:row>
    <x:row r="23">
      <x:c r="C23" s="49"/>
    </x:row>
    <x:row r="24">
      <x:c r="C24" s="49"/>
    </x:row>
    <x:row r="25">
      <x:c r="C25" s="49"/>
    </x:row>
    <x:row r="26">
      <x:c r="C26" s="49"/>
    </x:row>
    <x:row r="27">
      <x:c r="A27" s="24" t="str">
        <x:v>編纂：DyRO推進課 松尾 武範／ビジネスパートナー戦略企画課 伊逹浩一・山中 果菜実</x:v>
      </x:c>
      <x:c r="C27" s="49"/>
    </x:row>
    <x:row r="28">
      <x:c r="C28" s="49"/>
    </x:row>
    <x:row r="29">
      <x:c r="C29" s="49"/>
    </x:row>
    <x:row r="30">
      <x:c r="C30" s="49"/>
    </x:row>
  </x:sheetData>
  <x:mergeCells>
    <x:mergeCell ref="A1:H2"/>
    <x:mergeCell ref="A3:H3"/>
  </x:mergeCells>
  <x:pageMargins left="0.7" right="0.7" top="0.75" bottom="0.75" header="0.3" footer="0.3"/>
</x:worksheet>
</file>

<file path=xl/worksheets/sheet20.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0" hidden="0" customWidth="1"/>
    <x:col min="2" max="2" width="22" hidden="0" customWidth="1"/>
    <x:col min="3" max="3" width="40" hidden="0" customWidth="1"/>
    <x:col min="4" max="4" width="49" hidden="0" customWidth="1"/>
    <x:col min="5" max="5" width="50" hidden="0" customWidth="1"/>
    <x:col min="6" max="6" width="44" hidden="0" customWidth="1"/>
  </x:cols>
  <x:sheetData>
    <x:row r="1" ht="26" customHeight="1">
      <x:c r="A1" s="4" t="str">
        <x:v>フレームワーク辞典｜何を考えるか</x:v>
      </x:c>
      <x:c r="B1" s="4"/>
      <x:c r="C1" s="4"/>
      <x:c r="D1" s="4"/>
      <x:c r="E1" s="4"/>
      <x:c r="F1" s="4"/>
      <x:c r="G1" s="4"/>
      <x:c r="H1" s="4"/>
    </x:row>
    <x:row r="2" ht="26" customHeight="1">
      <x:c r="A2" s="4"/>
      <x:c r="B2" s="4"/>
      <x:c r="C2" s="4"/>
      <x:c r="D2" s="4"/>
      <x:c r="E2" s="4"/>
      <x:c r="F2" s="4"/>
      <x:c r="G2" s="4"/>
      <x:c r="H2" s="4"/>
    </x:row>
    <x:row r="3" ht="30" customHeight="1">
      <x:c r="A3" s="10" t="str">
        <x:v>1つの分析で全ては決められません。外部環境・顧客・競争・内部能力を往復し、戦略選択に結びつけます。</x:v>
      </x:c>
      <x:c r="B3" s="10"/>
      <x:c r="C3" s="10"/>
      <x:c r="D3" s="10"/>
      <x:c r="E3" s="10"/>
      <x:c r="F3" s="10"/>
      <x:c r="G3" s="10"/>
      <x:c r="H3" s="10"/>
    </x:row>
    <x:row r="5" ht="33" customHeight="1">
      <x:c r="A5" s="17" t="str">
        <x:v>名称</x:v>
      </x:c>
      <x:c r="B5" s="17" t="str">
        <x:v>目的</x:v>
      </x:c>
      <x:c r="C5" s="17" t="str">
        <x:v>何を分析するか</x:v>
      </x:c>
      <x:c r="D5" s="17" t="str">
        <x:v>医療機器業界での例</x:v>
      </x:c>
      <x:c r="E5" s="17" t="str">
        <x:v>誤用・落とし穴</x:v>
      </x:c>
      <x:c r="F5" s="17" t="str">
        <x:v>成果物</x:v>
      </x:c>
    </x:row>
    <x:row r="6" ht="35" customHeight="1">
      <x:c r="A6" s="22" t="str">
        <x:v>PEST</x:v>
      </x:c>
      <x:c r="B6" s="22" t="str">
        <x:v>外部環境</x:v>
      </x:c>
      <x:c r="C6" s="22" t="str">
        <x:v>政治・経済・社会・技術の変化</x:v>
      </x:c>
      <x:c r="D6" s="22" t="str">
        <x:v>2027〜2030年の医療政策・人材不足・DXの影響を仮説化</x:v>
      </x:c>
      <x:c r="E6" s="22" t="str">
        <x:v>制度名の羅列で終わらせず、顧客行動と自社への因果を記す</x:v>
      </x:c>
      <x:c r="F6" s="22" t="str">
        <x:v>外部変化×影響度×対応時期の表</x:v>
      </x:c>
    </x:row>
    <x:row r="7" ht="35" customHeight="1">
      <x:c r="A7" s="22" t="str">
        <x:v>5F</x:v>
      </x:c>
      <x:c r="B7" s="22" t="str">
        <x:v>業界構造</x:v>
      </x:c>
      <x:c r="C7" s="22" t="str">
        <x:v>競争・新規参入・代替・買い手・売り手の圧力</x:v>
      </x:c>
      <x:c r="D7" s="22" t="str">
        <x:v>商社への価格交渉、仕入制約、遠隔や共同利用の代替を検討</x:v>
      </x:c>
      <x:c r="E7" s="22" t="str">
        <x:v>競合会社だけを見る、同じ業界をひとまとめにする</x:v>
      </x:c>
      <x:c r="F7" s="22" t="str">
        <x:v>圧力の強弱と対応の構造図</x:v>
      </x:c>
    </x:row>
    <x:row r="8" ht="35" customHeight="1">
      <x:c r="A8" s="22" t="str">
        <x:v>3C</x:v>
      </x:c>
      <x:c r="B8" s="22" t="str">
        <x:v>顧客・競合・自社</x:v>
      </x:c>
      <x:c r="C8" s="22" t="str">
        <x:v>Customer / Competitor / Company</x:v>
      </x:c>
      <x:c r="D8" s="22" t="str">
        <x:v>診療所の運用負荷と他社の導入後支援、自社の提案能力を比較</x:v>
      </x:c>
      <x:c r="E8" s="22" t="str">
        <x:v>自社製品から分析を始める</x:v>
      </x:c>
      <x:c r="F8" s="22" t="str">
        <x:v>顧客課題・競合・自社の比較表</x:v>
      </x:c>
    </x:row>
    <x:row r="9" ht="35" customHeight="1">
      <x:c r="A9" s="22" t="str">
        <x:v>VRIO</x:v>
      </x:c>
      <x:c r="B9" s="22" t="str">
        <x:v>内部資源</x:v>
      </x:c>
      <x:c r="C9" s="22" t="str">
        <x:v>Value / Rarity / Imitability / Organization</x:v>
      </x:c>
      <x:c r="D9" s="22" t="str">
        <x:v>専門教育、臨床知識、サービス網、顧客接点の競争優位を評価</x:v>
      </x:c>
      <x:c r="E9" s="22" t="str">
        <x:v>単なる強みの一覧、希少性を裏付けず高評価</x:v>
      </x:c>
      <x:c r="F9" s="22" t="str">
        <x:v>優位性と組織化のギャップ</x:v>
      </x:c>
    </x:row>
    <x:row r="10" ht="35" customHeight="1">
      <x:c r="A10" s="22" t="str">
        <x:v>STP</x:v>
      </x:c>
      <x:c r="B10" s="22" t="str">
        <x:v>戦う場所</x:v>
      </x:c>
      <x:c r="C10" s="22" t="str">
        <x:v>Segment / Target / Positioning</x:v>
      </x:c>
      <x:c r="D10" s="22" t="str">
        <x:v>診療科、施設機能、地域、導入契機で顧客を分ける</x:v>
      </x:c>
      <x:c r="E10" s="22" t="str">
        <x:v>すべての顧客をターゲットに設定</x:v>
      </x:c>
      <x:c r="F10" s="22" t="str">
        <x:v>最優先顧客と選ばれる理由</x:v>
      </x:c>
    </x:row>
    <x:row r="11" ht="35" customHeight="1">
      <x:c r="A11" s="22" t="str">
        <x:v>4P/4C</x:v>
      </x:c>
      <x:c r="B11" s="22" t="str">
        <x:v>提供価値</x:v>
      </x:c>
      <x:c r="C11" s="22" t="str">
        <x:v>Product/Price/Place/Promotion × Value/Cost/Convenience/Communication</x:v>
      </x:c>
      <x:c r="D11" s="22" t="str">
        <x:v>装置単体ではなく臨床・運用・経営価値を設計</x:v>
      </x:c>
      <x:c r="E11" s="22" t="str">
        <x:v>機能説明・価格訴求だけで終わる</x:v>
      </x:c>
      <x:c r="F11" s="22" t="str">
        <x:v>価値提案と購買負担の対応表</x:v>
      </x:c>
    </x:row>
    <x:row r="12" ht="35" customHeight="1">
      <x:c r="A12" s="22" t="str">
        <x:v>SWOT</x:v>
      </x:c>
      <x:c r="B12" s="22" t="str">
        <x:v>戦略の素材</x:v>
      </x:c>
      <x:c r="C12" s="22" t="str">
        <x:v>Strength / Weakness / Opportunity / Threat</x:v>
      </x:c>
      <x:c r="D12" s="22" t="str">
        <x:v>内部の強弱を外部機会・脅威と交差させる</x:v>
      </x:c>
      <x:c r="E12" s="22" t="str">
        <x:v>強みと機会を混同し、定量根拠がない</x:v>
      </x:c>
      <x:c r="F12" s="22" t="str">
        <x:v>SO/WO/ST/WTの戦略オプション</x:v>
      </x:c>
    </x:row>
    <x:row r="13" ht="35" customHeight="1">
      <x:c r="A13" s="22" t="str">
        <x:v>KSF</x:v>
      </x:c>
      <x:c r="B13" s="22" t="str">
        <x:v>勝つ条件</x:v>
      </x:c>
      <x:c r="C13" s="22" t="str">
        <x:v>Key Success Factors</x:v>
      </x:c>
      <x:c r="D13" s="22" t="str">
        <x:v>選択市場で成功するための必要条件と自社Capabilityの差を定義</x:v>
      </x:c>
      <x:c r="E13" s="22" t="str">
        <x:v>成功条件と自社の施策を混同</x:v>
      </x:c>
      <x:c r="F13" s="22" t="str">
        <x:v>優先KSF・Gap・施策・KPI</x:v>
      </x:c>
    </x:row>
    <x:row r="14" ht="35" customHeight="1">
      <x:c r="A14" s="22" t="str">
        <x:v>DMU/KBF</x:v>
      </x:c>
      <x:c r="B14" s="22" t="str">
        <x:v>購買意思決定</x:v>
      </x:c>
      <x:c r="C14" s="22" t="str">
        <x:v>Decision Making Unit / Key Buying Factors</x:v>
      </x:c>
      <x:c r="D14" s="22" t="str">
        <x:v>医師、技師、事務、経営、購買それぞれの判断軸</x:v>
      </x:c>
      <x:c r="E14" s="22" t="str">
        <x:v>使用者だけに説明すれば買えると考える</x:v>
      </x:c>
      <x:c r="F14" s="22" t="str">
        <x:v>関与者マップと選定基準</x:v>
      </x:c>
    </x:row>
    <x:row r="15" ht="35" customHeight="1">
      <x:c r="A15" s="22" t="str">
        <x:v>KPI/RACI</x:v>
      </x:c>
      <x:c r="B15" s="22" t="str">
        <x:v>実行設計</x:v>
      </x:c>
      <x:c r="C15" s="22" t="str">
        <x:v>先行指標・結果指標 / 責任分担</x:v>
      </x:c>
      <x:c r="D15" s="22" t="str">
        <x:v>商談化率や顧客検証件数、実行と承認の役割</x:v>
      </x:c>
      <x:c r="E15" s="22" t="str">
        <x:v>訪問回数だけを成果とする</x:v>
      </x:c>
      <x:c r="F15" s="22" t="str">
        <x:v>月次スコアカード・責任分担表</x:v>
      </x:c>
    </x:row>
    <x:row r="22">
      <x:c r="A22" s="24" t="str">
        <x:v>編纂：DyRO推進課 松尾 武範／ビジネスパートナー戦略企画課 伊逹浩一・山中 果菜実</x:v>
      </x:c>
    </x:row>
  </x:sheetData>
  <x:mergeCells>
    <x:mergeCell ref="A1:H2"/>
    <x:mergeCell ref="A3:H3"/>
  </x:mergeCells>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5" hidden="0" customWidth="1"/>
  </x:cols>
  <x:sheetData>
    <x:row r="1" ht="24" customHeight="1">
      <x:c r="A1" s="58" t="str">
        <x:v>戦略・中長期計画｜図解ダッシュボード</x:v>
      </x:c>
      <x:c r="B1" s="58"/>
      <x:c r="C1" s="58"/>
      <x:c r="D1" s="58"/>
      <x:c r="E1" s="58"/>
      <x:c r="F1" s="58"/>
      <x:c r="G1" s="58"/>
      <x:c r="H1" s="58"/>
      <x:c r="I1" s="58"/>
      <x:c r="J1" s="58"/>
      <x:c r="K1" s="58"/>
      <x:c r="L1" s="58"/>
      <x:c r="M1" s="58"/>
      <x:c r="N1" s="58"/>
    </x:row>
    <x:row r="2" ht="24" customHeight="1">
      <x:c r="A2" s="58"/>
      <x:c r="B2" s="58"/>
      <x:c r="C2" s="58"/>
      <x:c r="D2" s="58"/>
      <x:c r="E2" s="58"/>
      <x:c r="F2" s="58"/>
      <x:c r="G2" s="58"/>
      <x:c r="H2" s="58"/>
      <x:c r="I2" s="58"/>
      <x:c r="J2" s="58"/>
      <x:c r="K2" s="58"/>
      <x:c r="L2" s="58"/>
      <x:c r="M2" s="58"/>
      <x:c r="N2" s="58"/>
    </x:row>
    <x:row r="3" ht="24" customHeight="1">
      <x:c r="A3" s="58"/>
      <x:c r="B3" s="58"/>
      <x:c r="C3" s="58"/>
      <x:c r="D3" s="58"/>
      <x:c r="E3" s="58"/>
      <x:c r="F3" s="58"/>
      <x:c r="G3" s="58"/>
      <x:c r="H3" s="58"/>
      <x:c r="I3" s="58"/>
      <x:c r="J3" s="58"/>
      <x:c r="K3" s="58"/>
      <x:c r="L3" s="58"/>
      <x:c r="M3" s="58"/>
      <x:c r="N3" s="58"/>
    </x:row>
    <x:row r="4" ht="24" customHeight="1">
      <x:c r="A4" s="61" t="str">
        <x:v>3〜5年戦略 × KSF能力ギャップ × 商談ファネル × 90日実行  /  研修用の架空ケース</x:v>
      </x:c>
      <x:c r="B4" s="61"/>
      <x:c r="C4" s="61"/>
      <x:c r="D4" s="61"/>
      <x:c r="E4" s="61"/>
      <x:c r="F4" s="61"/>
      <x:c r="G4" s="61"/>
      <x:c r="H4" s="61"/>
      <x:c r="I4" s="61"/>
      <x:c r="J4" s="61"/>
      <x:c r="K4" s="61"/>
      <x:c r="L4" s="61"/>
      <x:c r="M4" s="61"/>
      <x:c r="N4" s="61"/>
    </x:row>
    <x:row r="5" ht="24" customHeight="1">
      <x:c r="A5" s="61"/>
      <x:c r="B5" s="61"/>
      <x:c r="C5" s="61"/>
      <x:c r="D5" s="61"/>
      <x:c r="E5" s="61"/>
      <x:c r="F5" s="61"/>
      <x:c r="G5" s="61"/>
      <x:c r="H5" s="61"/>
      <x:c r="I5" s="61"/>
      <x:c r="J5" s="61"/>
      <x:c r="K5" s="61"/>
      <x:c r="L5" s="61"/>
      <x:c r="M5" s="61"/>
      <x:c r="N5" s="61"/>
    </x:row>
    <x:row r="6" ht="22" customHeight="1">
      <x:c r="A6" s="54"/>
      <x:c r="B6" s="54"/>
      <x:c r="C6" s="54"/>
      <x:c r="D6" s="54"/>
      <x:c r="E6" s="54"/>
      <x:c r="F6" s="54"/>
      <x:c r="G6" s="54"/>
      <x:c r="H6" s="54"/>
      <x:c r="I6" s="54"/>
      <x:c r="J6" s="54"/>
      <x:c r="K6" s="54"/>
      <x:c r="L6" s="54"/>
      <x:c r="M6" s="54"/>
      <x:c r="N6" s="54"/>
    </x:row>
    <x:row r="7" ht="30" customHeight="1">
      <x:c r="A7" s="65" t="str">
        <x:v>中計2030売上</x:v>
      </x:c>
      <x:c r="B7" s="65"/>
      <x:c r="C7" s="65"/>
      <x:c r="D7" s="74" t="str">
        <x:v>中計成長率</x:v>
      </x:c>
      <x:c r="E7" s="74"/>
      <x:c r="F7" s="74"/>
      <x:c r="G7" s="82" t="str">
        <x:v>KSF能力ギャップ</x:v>
      </x:c>
      <x:c r="H7" s="82"/>
      <x:c r="I7" s="82"/>
      <x:c r="J7" s="90" t="str">
        <x:v>90日実行率</x:v>
      </x:c>
      <x:c r="K7" s="90"/>
      <x:c r="L7" s="90"/>
      <x:c r="M7" s="54"/>
      <x:c r="N7" s="54"/>
    </x:row>
    <x:row r="8" ht="34" customHeight="1">
      <x:c r="A8" s="70" t="n">
        <x:f>'02_進捗一覧'!B7</x:f>
        <x:v>1420</x:v>
      </x:c>
      <x:c r="B8" s="69"/>
      <x:c r="C8" s="69"/>
      <x:c r="D8" s="78" t="n">
        <x:f>'02_進捗一覧'!B8</x:f>
        <x:v>0.41999999999999993</x:v>
      </x:c>
      <x:c r="E8" s="77"/>
      <x:c r="F8" s="77"/>
      <x:c r="G8" s="86" t="n">
        <x:f>'02_進捗一覧'!B9</x:f>
        <x:v>13</x:v>
      </x:c>
      <x:c r="H8" s="85"/>
      <x:c r="I8" s="85"/>
      <x:c r="J8" s="94" t="n">
        <x:f>'02_進捗一覧'!B11</x:f>
        <x:v>0</x:v>
      </x:c>
      <x:c r="K8" s="93"/>
      <x:c r="L8" s="93"/>
      <x:c r="M8" s="54"/>
      <x:c r="N8" s="54"/>
    </x:row>
    <x:row r="9" ht="34" customHeight="1">
      <x:c r="A9" s="69"/>
      <x:c r="B9" s="69"/>
      <x:c r="C9" s="69"/>
      <x:c r="D9" s="77"/>
      <x:c r="E9" s="77"/>
      <x:c r="F9" s="77"/>
      <x:c r="G9" s="85"/>
      <x:c r="H9" s="85"/>
      <x:c r="I9" s="85"/>
      <x:c r="J9" s="93"/>
      <x:c r="K9" s="93"/>
      <x:c r="L9" s="93"/>
      <x:c r="M9" s="54"/>
      <x:c r="N9" s="54"/>
    </x:row>
    <x:row r="10" ht="34" customHeight="1">
      <x:c r="A10" s="69"/>
      <x:c r="B10" s="69"/>
      <x:c r="C10" s="69"/>
      <x:c r="D10" s="77"/>
      <x:c r="E10" s="77"/>
      <x:c r="F10" s="77"/>
      <x:c r="G10" s="85"/>
      <x:c r="H10" s="85"/>
      <x:c r="I10" s="85"/>
      <x:c r="J10" s="93"/>
      <x:c r="K10" s="93"/>
      <x:c r="L10" s="93"/>
      <x:c r="M10" s="54"/>
      <x:c r="N10" s="54"/>
    </x:row>
    <x:row r="11" ht="22" customHeight="1">
      <x:c r="A11" s="54"/>
      <x:c r="B11" s="54"/>
      <x:c r="C11" s="54"/>
      <x:c r="D11" s="54"/>
      <x:c r="E11" s="54"/>
      <x:c r="F11" s="54"/>
      <x:c r="G11" s="54"/>
      <x:c r="H11" s="54"/>
      <x:c r="I11" s="54"/>
      <x:c r="J11" s="54"/>
      <x:c r="K11" s="54"/>
      <x:c r="L11" s="54"/>
      <x:c r="M11" s="54"/>
      <x:c r="N11" s="54"/>
    </x:row>
    <x:row r="12" ht="22" customHeight="1">
      <x:c r="A12" s="54"/>
      <x:c r="B12" s="54"/>
      <x:c r="C12" s="54"/>
      <x:c r="D12" s="54"/>
      <x:c r="E12" s="54"/>
      <x:c r="F12" s="54"/>
      <x:c r="G12" s="54"/>
      <x:c r="H12" s="54"/>
      <x:c r="I12" s="54"/>
      <x:c r="J12" s="54"/>
      <x:c r="K12" s="54"/>
      <x:c r="L12" s="54"/>
      <x:c r="M12" s="54"/>
      <x:c r="N12" s="54"/>
    </x:row>
    <x:row r="13" ht="25" customHeight="1">
      <x:c r="A13" s="96" t="str">
        <x:v>01   3〜5年売上計画（架空例）</x:v>
      </x:c>
      <x:c r="B13" s="96"/>
      <x:c r="C13" s="96"/>
      <x:c r="D13" s="96"/>
      <x:c r="E13" s="96"/>
      <x:c r="F13" s="96"/>
      <x:c r="G13" s="96"/>
      <x:c r="H13" s="96" t="str">
        <x:v>02   KSF：必要な能力と現状の差</x:v>
      </x:c>
      <x:c r="I13" s="96"/>
      <x:c r="J13" s="96"/>
      <x:c r="K13" s="96"/>
      <x:c r="L13" s="96"/>
      <x:c r="M13" s="96"/>
      <x:c r="N13" s="96"/>
    </x:row>
    <x:row r="14" ht="25" customHeight="1">
      <x:c r="A14" s="96"/>
      <x:c r="B14" s="96"/>
      <x:c r="C14" s="96"/>
      <x:c r="D14" s="96"/>
      <x:c r="E14" s="96"/>
      <x:c r="F14" s="96"/>
      <x:c r="G14" s="96"/>
      <x:c r="H14" s="96"/>
      <x:c r="I14" s="96"/>
      <x:c r="J14" s="96"/>
      <x:c r="K14" s="96"/>
      <x:c r="L14" s="96"/>
      <x:c r="M14" s="96"/>
      <x:c r="N14" s="96"/>
    </x:row>
    <x:row r="15" ht="22" customHeight="1">
      <x:c r="A15" s="54"/>
      <x:c r="B15" s="54"/>
      <x:c r="C15" s="54"/>
      <x:c r="D15" s="54"/>
      <x:c r="E15" s="54"/>
      <x:c r="F15" s="54"/>
      <x:c r="G15" s="54"/>
      <x:c r="H15" s="54"/>
      <x:c r="I15" s="54"/>
      <x:c r="J15" s="54"/>
      <x:c r="K15" s="54"/>
      <x:c r="L15" s="54"/>
      <x:c r="M15" s="54"/>
      <x:c r="N15" s="54"/>
    </x:row>
    <x:row r="16" ht="22" customHeight="1">
      <x:c r="A16" s="54"/>
      <x:c r="B16" s="54"/>
      <x:c r="C16" s="54"/>
      <x:c r="D16" s="54"/>
      <x:c r="E16" s="54"/>
      <x:c r="F16" s="54"/>
      <x:c r="G16" s="54"/>
      <x:c r="H16" s="54"/>
      <x:c r="I16" s="54"/>
      <x:c r="J16" s="54"/>
      <x:c r="K16" s="54"/>
      <x:c r="L16" s="54"/>
      <x:c r="M16" s="54"/>
      <x:c r="N16" s="54"/>
    </x:row>
    <x:row r="17" ht="22" customHeight="1">
      <x:c r="A17" s="54"/>
      <x:c r="B17" s="54"/>
      <x:c r="C17" s="54"/>
      <x:c r="D17" s="54"/>
      <x:c r="E17" s="54"/>
      <x:c r="F17" s="54"/>
      <x:c r="G17" s="54"/>
      <x:c r="H17" s="54"/>
      <x:c r="I17" s="54"/>
      <x:c r="J17" s="54"/>
      <x:c r="K17" s="54"/>
      <x:c r="L17" s="54"/>
      <x:c r="M17" s="54"/>
      <x:c r="N17" s="54"/>
    </x:row>
    <x:row r="18" ht="22" customHeight="1">
      <x:c r="A18" s="54"/>
      <x:c r="B18" s="54"/>
      <x:c r="C18" s="54"/>
      <x:c r="D18" s="54"/>
      <x:c r="E18" s="54"/>
      <x:c r="F18" s="54"/>
      <x:c r="G18" s="54"/>
      <x:c r="H18" s="54"/>
      <x:c r="I18" s="54"/>
      <x:c r="J18" s="54"/>
      <x:c r="K18" s="54"/>
      <x:c r="L18" s="54"/>
      <x:c r="M18" s="54"/>
      <x:c r="N18" s="54"/>
    </x:row>
    <x:row r="19" ht="22" customHeight="1">
      <x:c r="A19" s="54"/>
      <x:c r="B19" s="54"/>
      <x:c r="C19" s="54"/>
      <x:c r="D19" s="54"/>
      <x:c r="E19" s="54"/>
      <x:c r="F19" s="54"/>
      <x:c r="G19" s="54"/>
      <x:c r="H19" s="54"/>
      <x:c r="I19" s="54"/>
      <x:c r="J19" s="54"/>
      <x:c r="K19" s="54"/>
      <x:c r="L19" s="54"/>
      <x:c r="M19" s="54"/>
      <x:c r="N19" s="54"/>
    </x:row>
    <x:row r="20" ht="22" customHeight="1">
      <x:c r="A20" s="54"/>
      <x:c r="B20" s="54"/>
      <x:c r="C20" s="54"/>
      <x:c r="D20" s="54"/>
      <x:c r="E20" s="54"/>
      <x:c r="F20" s="54"/>
      <x:c r="G20" s="54"/>
      <x:c r="H20" s="54"/>
      <x:c r="I20" s="54"/>
      <x:c r="J20" s="54"/>
      <x:c r="K20" s="54"/>
      <x:c r="L20" s="54"/>
      <x:c r="M20" s="54"/>
      <x:c r="N20" s="54"/>
    </x:row>
    <x:row r="21" ht="22" customHeight="1">
      <x:c r="A21" s="54"/>
      <x:c r="B21" s="54"/>
      <x:c r="C21" s="54"/>
      <x:c r="D21" s="54"/>
      <x:c r="E21" s="54"/>
      <x:c r="F21" s="54"/>
      <x:c r="G21" s="54"/>
      <x:c r="H21" s="54"/>
      <x:c r="I21" s="54"/>
      <x:c r="J21" s="54"/>
      <x:c r="K21" s="54"/>
      <x:c r="L21" s="54"/>
      <x:c r="M21" s="54"/>
      <x:c r="N21" s="54"/>
    </x:row>
    <x:row r="22" ht="22" customHeight="1">
      <x:c r="A22" s="54"/>
      <x:c r="B22" s="54"/>
      <x:c r="C22" s="54"/>
      <x:c r="D22" s="54"/>
      <x:c r="E22" s="54"/>
      <x:c r="F22" s="54"/>
      <x:c r="G22" s="54"/>
      <x:c r="H22" s="54"/>
      <x:c r="I22" s="54"/>
      <x:c r="J22" s="54"/>
      <x:c r="K22" s="54"/>
      <x:c r="L22" s="54"/>
      <x:c r="M22" s="54"/>
      <x:c r="N22" s="54"/>
    </x:row>
    <x:row r="23" ht="22" customHeight="1">
      <x:c r="A23" s="54"/>
      <x:c r="B23" s="54"/>
      <x:c r="C23" s="54"/>
      <x:c r="D23" s="54"/>
      <x:c r="E23" s="54"/>
      <x:c r="F23" s="54"/>
      <x:c r="G23" s="54"/>
      <x:c r="H23" s="54"/>
      <x:c r="I23" s="54"/>
      <x:c r="J23" s="54"/>
      <x:c r="K23" s="54"/>
      <x:c r="L23" s="54"/>
      <x:c r="M23" s="54"/>
      <x:c r="N23" s="54"/>
    </x:row>
    <x:row r="24" ht="22" customHeight="1">
      <x:c r="A24" s="54"/>
      <x:c r="B24" s="54"/>
      <x:c r="C24" s="54"/>
      <x:c r="D24" s="54"/>
      <x:c r="E24" s="54"/>
      <x:c r="F24" s="54"/>
      <x:c r="G24" s="54"/>
      <x:c r="H24" s="54"/>
      <x:c r="I24" s="54"/>
      <x:c r="J24" s="54"/>
      <x:c r="K24" s="54"/>
      <x:c r="L24" s="54"/>
      <x:c r="M24" s="54"/>
      <x:c r="N24" s="54"/>
    </x:row>
    <x:row r="25" ht="22" customHeight="1">
      <x:c r="A25" s="54"/>
      <x:c r="B25" s="54"/>
      <x:c r="C25" s="54"/>
      <x:c r="D25" s="54"/>
      <x:c r="E25" s="54"/>
      <x:c r="F25" s="54"/>
      <x:c r="G25" s="54"/>
      <x:c r="H25" s="54"/>
      <x:c r="I25" s="54"/>
      <x:c r="J25" s="54"/>
      <x:c r="K25" s="54"/>
      <x:c r="L25" s="54"/>
      <x:c r="M25" s="54"/>
      <x:c r="N25" s="54"/>
    </x:row>
    <x:row r="26" ht="22" customHeight="1">
      <x:c r="A26" s="54"/>
      <x:c r="B26" s="54"/>
      <x:c r="C26" s="54"/>
      <x:c r="D26" s="54"/>
      <x:c r="E26" s="54"/>
      <x:c r="F26" s="54"/>
      <x:c r="G26" s="54"/>
      <x:c r="H26" s="54"/>
      <x:c r="I26" s="54"/>
      <x:c r="J26" s="54"/>
      <x:c r="K26" s="54"/>
      <x:c r="L26" s="54"/>
      <x:c r="M26" s="54"/>
      <x:c r="N26" s="54"/>
    </x:row>
    <x:row r="27" ht="22" customHeight="1">
      <x:c r="A27" s="54"/>
      <x:c r="B27" s="54"/>
      <x:c r="C27" s="54"/>
      <x:c r="D27" s="54"/>
      <x:c r="E27" s="54"/>
      <x:c r="F27" s="54"/>
      <x:c r="G27" s="54"/>
      <x:c r="H27" s="54"/>
      <x:c r="I27" s="54"/>
      <x:c r="J27" s="54"/>
      <x:c r="K27" s="54"/>
      <x:c r="L27" s="54"/>
      <x:c r="M27" s="54"/>
      <x:c r="N27" s="54"/>
    </x:row>
    <x:row r="28" ht="22" customHeight="1">
      <x:c r="A28" s="54"/>
      <x:c r="B28" s="54"/>
      <x:c r="C28" s="54"/>
      <x:c r="D28" s="54"/>
      <x:c r="E28" s="54"/>
      <x:c r="F28" s="54"/>
      <x:c r="G28" s="54"/>
      <x:c r="H28" s="54"/>
      <x:c r="I28" s="54"/>
      <x:c r="J28" s="54"/>
      <x:c r="K28" s="54"/>
      <x:c r="L28" s="54"/>
      <x:c r="M28" s="54"/>
      <x:c r="N28" s="54"/>
    </x:row>
    <x:row r="29" ht="22" customHeight="1">
      <x:c r="A29" s="54"/>
      <x:c r="B29" s="54"/>
      <x:c r="C29" s="54"/>
      <x:c r="D29" s="54"/>
      <x:c r="E29" s="54"/>
      <x:c r="F29" s="54"/>
      <x:c r="G29" s="54"/>
      <x:c r="H29" s="54"/>
      <x:c r="I29" s="54"/>
      <x:c r="J29" s="54"/>
      <x:c r="K29" s="54"/>
      <x:c r="L29" s="54"/>
      <x:c r="M29" s="54"/>
      <x:c r="N29" s="54"/>
    </x:row>
    <x:row r="30" ht="22" customHeight="1">
      <x:c r="A30" s="54"/>
      <x:c r="B30" s="54"/>
      <x:c r="C30" s="54"/>
      <x:c r="D30" s="54"/>
      <x:c r="E30" s="54"/>
      <x:c r="F30" s="54"/>
      <x:c r="G30" s="54"/>
      <x:c r="H30" s="54"/>
      <x:c r="I30" s="54"/>
      <x:c r="J30" s="54"/>
      <x:c r="K30" s="54"/>
      <x:c r="L30" s="54"/>
      <x:c r="M30" s="54"/>
      <x:c r="N30" s="54"/>
    </x:row>
    <x:row r="31" ht="22" customHeight="1">
      <x:c r="A31" s="54"/>
      <x:c r="B31" s="54"/>
      <x:c r="C31" s="54"/>
      <x:c r="D31" s="54"/>
      <x:c r="E31" s="54"/>
      <x:c r="F31" s="54"/>
      <x:c r="G31" s="54"/>
      <x:c r="H31" s="54"/>
      <x:c r="I31" s="54"/>
      <x:c r="J31" s="54"/>
      <x:c r="K31" s="54"/>
      <x:c r="L31" s="54"/>
      <x:c r="M31" s="54"/>
      <x:c r="N31" s="54"/>
    </x:row>
    <x:row r="32" ht="22" customHeight="1">
      <x:c r="A32" s="54"/>
      <x:c r="B32" s="54"/>
      <x:c r="C32" s="54"/>
      <x:c r="D32" s="54"/>
      <x:c r="E32" s="54"/>
      <x:c r="F32" s="54"/>
      <x:c r="G32" s="54"/>
      <x:c r="H32" s="54"/>
      <x:c r="I32" s="54"/>
      <x:c r="J32" s="54"/>
      <x:c r="K32" s="54"/>
      <x:c r="L32" s="54"/>
      <x:c r="M32" s="54"/>
      <x:c r="N32" s="54"/>
    </x:row>
    <x:row r="33" ht="22" customHeight="1">
      <x:c r="A33" s="54"/>
      <x:c r="B33" s="54"/>
      <x:c r="C33" s="54"/>
      <x:c r="D33" s="54"/>
      <x:c r="E33" s="54"/>
      <x:c r="F33" s="54"/>
      <x:c r="G33" s="54"/>
      <x:c r="H33" s="54"/>
      <x:c r="I33" s="54"/>
      <x:c r="J33" s="54"/>
      <x:c r="K33" s="54"/>
      <x:c r="L33" s="54"/>
      <x:c r="M33" s="54"/>
      <x:c r="N33" s="54"/>
    </x:row>
    <x:row r="34" ht="22" customHeight="1">
      <x:c r="A34" s="54"/>
      <x:c r="B34" s="54"/>
      <x:c r="C34" s="54"/>
      <x:c r="D34" s="54"/>
      <x:c r="E34" s="54"/>
      <x:c r="F34" s="54"/>
      <x:c r="G34" s="54"/>
      <x:c r="H34" s="54"/>
      <x:c r="I34" s="54"/>
      <x:c r="J34" s="54"/>
      <x:c r="K34" s="54"/>
      <x:c r="L34" s="54"/>
      <x:c r="M34" s="54"/>
      <x:c r="N34" s="54"/>
    </x:row>
    <x:row r="35" ht="22" customHeight="1">
      <x:c r="A35" s="54"/>
      <x:c r="B35" s="54"/>
      <x:c r="C35" s="54"/>
      <x:c r="D35" s="54"/>
      <x:c r="E35" s="54"/>
      <x:c r="F35" s="54"/>
      <x:c r="G35" s="54"/>
      <x:c r="H35" s="54"/>
      <x:c r="I35" s="54"/>
      <x:c r="J35" s="54"/>
      <x:c r="K35" s="54"/>
      <x:c r="L35" s="54"/>
      <x:c r="M35" s="54"/>
      <x:c r="N35" s="54"/>
    </x:row>
    <x:row r="36" ht="25" customHeight="1">
      <x:c r="A36" s="96" t="str">
        <x:v>03   営業ファネル（架空例）</x:v>
      </x:c>
      <x:c r="B36" s="96"/>
      <x:c r="C36" s="96"/>
      <x:c r="D36" s="96"/>
      <x:c r="E36" s="96"/>
      <x:c r="F36" s="96"/>
      <x:c r="G36" s="96"/>
      <x:c r="H36" s="96" t="str">
        <x:v>04   90日施策の進捗</x:v>
      </x:c>
      <x:c r="I36" s="96"/>
      <x:c r="J36" s="96"/>
      <x:c r="K36" s="96"/>
      <x:c r="L36" s="96"/>
      <x:c r="M36" s="96"/>
      <x:c r="N36" s="96"/>
    </x:row>
    <x:row r="37" ht="25" customHeight="1">
      <x:c r="A37" s="96"/>
      <x:c r="B37" s="96"/>
      <x:c r="C37" s="96"/>
      <x:c r="D37" s="96"/>
      <x:c r="E37" s="96"/>
      <x:c r="F37" s="96"/>
      <x:c r="G37" s="96"/>
      <x:c r="H37" s="96"/>
      <x:c r="I37" s="96"/>
      <x:c r="J37" s="96"/>
      <x:c r="K37" s="96"/>
      <x:c r="L37" s="96"/>
      <x:c r="M37" s="96"/>
      <x:c r="N37" s="96"/>
    </x:row>
    <x:row r="38" ht="22" customHeight="1">
      <x:c r="A38" s="54"/>
      <x:c r="B38" s="54"/>
      <x:c r="C38" s="54"/>
      <x:c r="D38" s="54"/>
      <x:c r="E38" s="54"/>
      <x:c r="F38" s="54"/>
      <x:c r="G38" s="54"/>
      <x:c r="H38" s="54"/>
      <x:c r="I38" s="54"/>
      <x:c r="J38" s="54"/>
      <x:c r="K38" s="54"/>
      <x:c r="L38" s="54"/>
      <x:c r="M38" s="54"/>
      <x:c r="N38" s="54"/>
    </x:row>
    <x:row r="39" ht="22" customHeight="1">
      <x:c r="A39" s="54"/>
      <x:c r="B39" s="54"/>
      <x:c r="C39" s="54"/>
      <x:c r="D39" s="54"/>
      <x:c r="E39" s="54"/>
      <x:c r="F39" s="54"/>
      <x:c r="G39" s="54"/>
      <x:c r="H39" s="54"/>
      <x:c r="I39" s="54"/>
      <x:c r="J39" s="54"/>
      <x:c r="K39" s="54"/>
      <x:c r="L39" s="54"/>
      <x:c r="M39" s="54"/>
      <x:c r="N39" s="54"/>
    </x:row>
    <x:row r="40" ht="22" customHeight="1">
      <x:c r="A40" s="54"/>
      <x:c r="B40" s="54"/>
      <x:c r="C40" s="54"/>
      <x:c r="D40" s="54"/>
      <x:c r="E40" s="54"/>
      <x:c r="F40" s="54"/>
      <x:c r="G40" s="54"/>
      <x:c r="H40" s="54"/>
      <x:c r="I40" s="54"/>
      <x:c r="J40" s="54"/>
      <x:c r="K40" s="54"/>
      <x:c r="L40" s="54"/>
      <x:c r="M40" s="54"/>
      <x:c r="N40" s="54"/>
    </x:row>
    <x:row r="41" ht="22" customHeight="1">
      <x:c r="A41" s="54"/>
      <x:c r="B41" s="54"/>
      <x:c r="C41" s="54"/>
      <x:c r="D41" s="54"/>
      <x:c r="E41" s="54"/>
      <x:c r="F41" s="54"/>
      <x:c r="G41" s="54"/>
      <x:c r="H41" s="54"/>
      <x:c r="I41" s="54"/>
      <x:c r="J41" s="54"/>
      <x:c r="K41" s="54"/>
      <x:c r="L41" s="54"/>
      <x:c r="M41" s="54"/>
      <x:c r="N41" s="54"/>
    </x:row>
    <x:row r="42" ht="22" customHeight="1">
      <x:c r="A42" s="54"/>
      <x:c r="B42" s="54"/>
      <x:c r="C42" s="54"/>
      <x:c r="D42" s="54"/>
      <x:c r="E42" s="54"/>
      <x:c r="F42" s="54"/>
      <x:c r="G42" s="54"/>
      <x:c r="H42" s="54"/>
      <x:c r="I42" s="54"/>
      <x:c r="J42" s="54"/>
      <x:c r="K42" s="54"/>
      <x:c r="L42" s="54"/>
      <x:c r="M42" s="54"/>
      <x:c r="N42" s="54"/>
    </x:row>
    <x:row r="43" ht="22" customHeight="1">
      <x:c r="A43" s="54"/>
      <x:c r="B43" s="54"/>
      <x:c r="C43" s="54"/>
      <x:c r="D43" s="54"/>
      <x:c r="E43" s="54"/>
      <x:c r="F43" s="54"/>
      <x:c r="G43" s="54"/>
      <x:c r="H43" s="54"/>
      <x:c r="I43" s="54"/>
      <x:c r="J43" s="54"/>
      <x:c r="K43" s="54"/>
      <x:c r="L43" s="54"/>
      <x:c r="M43" s="54"/>
      <x:c r="N43" s="54"/>
    </x:row>
    <x:row r="44" ht="22" customHeight="1">
      <x:c r="A44" s="54"/>
      <x:c r="B44" s="54"/>
      <x:c r="C44" s="54"/>
      <x:c r="D44" s="54"/>
      <x:c r="E44" s="54"/>
      <x:c r="F44" s="54"/>
      <x:c r="G44" s="54"/>
      <x:c r="H44" s="54"/>
      <x:c r="I44" s="54"/>
      <x:c r="J44" s="54"/>
      <x:c r="K44" s="54"/>
      <x:c r="L44" s="54"/>
      <x:c r="M44" s="54"/>
      <x:c r="N44" s="54"/>
    </x:row>
    <x:row r="45" ht="22" customHeight="1">
      <x:c r="A45" s="54"/>
      <x:c r="B45" s="54"/>
      <x:c r="C45" s="54"/>
      <x:c r="D45" s="54"/>
      <x:c r="E45" s="54"/>
      <x:c r="F45" s="54"/>
      <x:c r="G45" s="54"/>
      <x:c r="H45" s="54"/>
      <x:c r="I45" s="54"/>
      <x:c r="J45" s="54"/>
      <x:c r="K45" s="54"/>
      <x:c r="L45" s="54"/>
      <x:c r="M45" s="54"/>
      <x:c r="N45" s="54"/>
    </x:row>
    <x:row r="46" ht="22" customHeight="1">
      <x:c r="A46" s="54"/>
      <x:c r="B46" s="54"/>
      <x:c r="C46" s="54"/>
      <x:c r="D46" s="54"/>
      <x:c r="E46" s="54"/>
      <x:c r="F46" s="54"/>
      <x:c r="G46" s="54"/>
      <x:c r="H46" s="54"/>
      <x:c r="I46" s="54"/>
      <x:c r="J46" s="54"/>
      <x:c r="K46" s="54"/>
      <x:c r="L46" s="54"/>
      <x:c r="M46" s="54"/>
      <x:c r="N46" s="54"/>
    </x:row>
    <x:row r="47" ht="22" customHeight="1">
      <x:c r="A47" s="54"/>
      <x:c r="B47" s="54"/>
      <x:c r="C47" s="54"/>
      <x:c r="D47" s="54"/>
      <x:c r="E47" s="54"/>
      <x:c r="F47" s="54"/>
      <x:c r="G47" s="54"/>
      <x:c r="H47" s="54"/>
      <x:c r="I47" s="54"/>
      <x:c r="J47" s="54"/>
      <x:c r="K47" s="54"/>
      <x:c r="L47" s="54"/>
      <x:c r="M47" s="54"/>
      <x:c r="N47" s="54"/>
    </x:row>
    <x:row r="48" ht="22" customHeight="1">
      <x:c r="A48" s="54"/>
      <x:c r="B48" s="54"/>
      <x:c r="C48" s="54"/>
      <x:c r="D48" s="54"/>
      <x:c r="E48" s="54"/>
      <x:c r="F48" s="54"/>
      <x:c r="G48" s="54"/>
      <x:c r="H48" s="54"/>
      <x:c r="I48" s="54"/>
      <x:c r="J48" s="54"/>
      <x:c r="K48" s="54"/>
      <x:c r="L48" s="54"/>
      <x:c r="M48" s="54"/>
      <x:c r="N48" s="54"/>
    </x:row>
    <x:row r="49" ht="22" customHeight="1">
      <x:c r="A49" s="54"/>
      <x:c r="B49" s="54"/>
      <x:c r="C49" s="54"/>
      <x:c r="D49" s="54"/>
      <x:c r="E49" s="54"/>
      <x:c r="F49" s="54"/>
      <x:c r="G49" s="54"/>
      <x:c r="H49" s="54"/>
      <x:c r="I49" s="54"/>
      <x:c r="J49" s="54"/>
      <x:c r="K49" s="54"/>
      <x:c r="L49" s="54"/>
      <x:c r="M49" s="54"/>
      <x:c r="N49" s="54"/>
    </x:row>
    <x:row r="50" ht="22" customHeight="1">
      <x:c r="A50" s="54"/>
      <x:c r="B50" s="54"/>
      <x:c r="C50" s="54"/>
      <x:c r="D50" s="54"/>
      <x:c r="E50" s="54"/>
      <x:c r="F50" s="54"/>
      <x:c r="G50" s="54"/>
      <x:c r="H50" s="54"/>
      <x:c r="I50" s="54"/>
      <x:c r="J50" s="54"/>
      <x:c r="K50" s="54"/>
      <x:c r="L50" s="54"/>
      <x:c r="M50" s="54"/>
      <x:c r="N50" s="54"/>
    </x:row>
    <x:row r="51" ht="22" customHeight="1">
      <x:c r="A51" s="54"/>
      <x:c r="B51" s="54"/>
      <x:c r="C51" s="54"/>
      <x:c r="D51" s="54"/>
      <x:c r="E51" s="54"/>
      <x:c r="F51" s="54"/>
      <x:c r="G51" s="54"/>
      <x:c r="H51" s="54"/>
      <x:c r="I51" s="54"/>
      <x:c r="J51" s="54"/>
      <x:c r="K51" s="54"/>
      <x:c r="L51" s="54"/>
      <x:c r="M51" s="54"/>
      <x:c r="N51" s="54"/>
    </x:row>
    <x:row r="52" ht="22" customHeight="1">
      <x:c r="A52" s="54"/>
      <x:c r="B52" s="54"/>
      <x:c r="C52" s="54"/>
      <x:c r="D52" s="54"/>
      <x:c r="E52" s="54"/>
      <x:c r="F52" s="54"/>
      <x:c r="G52" s="54"/>
      <x:c r="H52" s="54"/>
      <x:c r="I52" s="54"/>
      <x:c r="J52" s="54"/>
      <x:c r="K52" s="54"/>
      <x:c r="L52" s="54"/>
      <x:c r="M52" s="54"/>
      <x:c r="N52" s="54"/>
    </x:row>
    <x:row r="53" ht="22" customHeight="1">
      <x:c r="A53" s="54"/>
      <x:c r="B53" s="54"/>
      <x:c r="C53" s="54"/>
      <x:c r="D53" s="54"/>
      <x:c r="E53" s="54"/>
      <x:c r="F53" s="54"/>
      <x:c r="G53" s="54"/>
      <x:c r="H53" s="54"/>
      <x:c r="I53" s="54"/>
      <x:c r="J53" s="54"/>
      <x:c r="K53" s="54"/>
      <x:c r="L53" s="54"/>
      <x:c r="M53" s="54"/>
      <x:c r="N53" s="54"/>
    </x:row>
    <x:row r="54" ht="22" customHeight="1">
      <x:c r="A54" s="54"/>
      <x:c r="B54" s="54"/>
      <x:c r="C54" s="54"/>
      <x:c r="D54" s="54"/>
      <x:c r="E54" s="54"/>
      <x:c r="F54" s="54"/>
      <x:c r="G54" s="54"/>
      <x:c r="H54" s="54"/>
      <x:c r="I54" s="54"/>
      <x:c r="J54" s="54"/>
      <x:c r="K54" s="54"/>
      <x:c r="L54" s="54"/>
      <x:c r="M54" s="54"/>
      <x:c r="N54" s="54"/>
    </x:row>
    <x:row r="55" ht="22" customHeight="1">
      <x:c r="A55" s="54"/>
      <x:c r="B55" s="54"/>
      <x:c r="C55" s="54"/>
      <x:c r="D55" s="54"/>
      <x:c r="E55" s="54"/>
      <x:c r="F55" s="54"/>
      <x:c r="G55" s="54"/>
      <x:c r="H55" s="54"/>
      <x:c r="I55" s="54"/>
      <x:c r="J55" s="54"/>
      <x:c r="K55" s="54"/>
      <x:c r="L55" s="54"/>
      <x:c r="M55" s="54"/>
      <x:c r="N55" s="54"/>
    </x:row>
    <x:row r="56" ht="22" customHeight="1">
      <x:c r="A56" s="54"/>
      <x:c r="B56" s="54"/>
      <x:c r="C56" s="54"/>
      <x:c r="D56" s="54"/>
      <x:c r="E56" s="54"/>
      <x:c r="F56" s="54"/>
      <x:c r="G56" s="54"/>
      <x:c r="H56" s="54"/>
      <x:c r="I56" s="54"/>
      <x:c r="J56" s="54"/>
      <x:c r="K56" s="54"/>
      <x:c r="L56" s="54"/>
      <x:c r="M56" s="54"/>
      <x:c r="N56" s="54"/>
    </x:row>
    <x:row r="57" ht="22" customHeight="1">
      <x:c r="A57" s="54"/>
      <x:c r="B57" s="54"/>
      <x:c r="C57" s="54"/>
      <x:c r="D57" s="54"/>
      <x:c r="E57" s="54"/>
      <x:c r="F57" s="54"/>
      <x:c r="G57" s="54"/>
      <x:c r="H57" s="54"/>
      <x:c r="I57" s="54"/>
      <x:c r="J57" s="54"/>
      <x:c r="K57" s="54"/>
      <x:c r="L57" s="54"/>
      <x:c r="M57" s="54"/>
      <x:c r="N57" s="54"/>
    </x:row>
    <x:row r="58" ht="22" customHeight="1">
      <x:c r="A58" s="54"/>
      <x:c r="B58" s="54"/>
      <x:c r="C58" s="54"/>
      <x:c r="D58" s="54"/>
      <x:c r="E58" s="54"/>
      <x:c r="F58" s="54"/>
      <x:c r="G58" s="54"/>
      <x:c r="H58" s="54"/>
      <x:c r="I58" s="54"/>
      <x:c r="J58" s="54"/>
      <x:c r="K58" s="54"/>
      <x:c r="L58" s="54"/>
      <x:c r="M58" s="54"/>
      <x:c r="N58" s="54"/>
    </x:row>
    <x:row r="59" ht="22" customHeight="1">
      <x:c r="A59" s="98" t="str">
        <x:v>GRAPH DATA｜下の表は元シートを参照する数式で自動連動します。数値・KPI定義は元シートで修正してください。</x:v>
      </x:c>
      <x:c r="B59" s="98"/>
      <x:c r="C59" s="98"/>
      <x:c r="D59" s="98"/>
      <x:c r="E59" s="98"/>
      <x:c r="F59" s="98"/>
      <x:c r="G59" s="98"/>
      <x:c r="H59" s="98"/>
      <x:c r="I59" s="98"/>
      <x:c r="J59" s="98"/>
      <x:c r="K59" s="98"/>
      <x:c r="L59" s="98"/>
      <x:c r="M59" s="98"/>
      <x:c r="N59" s="98"/>
    </x:row>
    <x:row r="60" ht="22" customHeight="1">
      <x:c r="A60" s="98"/>
      <x:c r="B60" s="98"/>
      <x:c r="C60" s="98"/>
      <x:c r="D60" s="98"/>
      <x:c r="E60" s="98"/>
      <x:c r="F60" s="98"/>
      <x:c r="G60" s="98"/>
      <x:c r="H60" s="98"/>
      <x:c r="I60" s="98"/>
      <x:c r="J60" s="98"/>
      <x:c r="K60" s="98"/>
      <x:c r="L60" s="98"/>
      <x:c r="M60" s="98"/>
      <x:c r="N60" s="98"/>
    </x:row>
    <x:row r="61" ht="22" customHeight="1">
      <x:c r="A61" s="54"/>
      <x:c r="B61" s="54"/>
      <x:c r="C61" s="54"/>
      <x:c r="D61" s="54"/>
      <x:c r="E61" s="54"/>
      <x:c r="F61" s="54"/>
      <x:c r="G61" s="54"/>
      <x:c r="H61" s="54"/>
      <x:c r="I61" s="54"/>
      <x:c r="J61" s="54"/>
      <x:c r="K61" s="54"/>
      <x:c r="L61" s="54"/>
      <x:c r="M61" s="54"/>
      <x:c r="N61" s="54"/>
    </x:row>
    <x:row r="62" ht="27" customHeight="1">
      <x:c r="A62" s="99" t="str">
        <x:v>年度</x:v>
      </x:c>
      <x:c r="B62" s="99" t="str">
        <x:v>売上（百万円）</x:v>
      </x:c>
      <x:c r="C62" s="54"/>
      <x:c r="D62" s="99" t="str">
        <x:v>KSF（架空例）</x:v>
      </x:c>
      <x:c r="E62" s="99" t="str">
        <x:v>ギャップ</x:v>
      </x:c>
      <x:c r="F62" s="54"/>
      <x:c r="G62" s="99" t="str">
        <x:v>営業段階</x:v>
      </x:c>
      <x:c r="H62" s="99" t="str">
        <x:v>案件数</x:v>
      </x:c>
      <x:c r="I62" s="54"/>
      <x:c r="J62" s="99" t="str">
        <x:v>進捗</x:v>
      </x:c>
      <x:c r="K62" s="99" t="str">
        <x:v>件数</x:v>
      </x:c>
      <x:c r="L62" s="54"/>
      <x:c r="M62" s="54"/>
      <x:c r="N62" s="54"/>
    </x:row>
    <x:row r="63" ht="26" customHeight="1">
      <x:c r="A63" s="100" t="n">
        <x:f>'12_年度別計画'!A6</x:f>
        <x:v>2026</x:v>
      </x:c>
      <x:c r="B63" s="100" t="n">
        <x:f>'12_年度別計画'!B6</x:f>
        <x:v>1000</x:v>
      </x:c>
      <x:c r="C63" s="54"/>
      <x:c r="D63" s="100" t="str">
        <x:f>'10_KSF'!A6</x:f>
        <x:v>重点顧客の解像度</x:v>
      </x:c>
      <x:c r="E63" s="100" t="n">
        <x:f>'10_KSF'!D6</x:f>
        <x:v>2</x:v>
      </x:c>
      <x:c r="F63" s="54"/>
      <x:c r="G63" s="100" t="str">
        <x:f>'13_営業ファネル'!A6</x:f>
        <x:v>接触</x:v>
      </x:c>
      <x:c r="H63" s="100" t="n">
        <x:f>'13_営業ファネル'!B6</x:f>
        <x:v>1500</x:v>
      </x:c>
      <x:c r="I63" s="54"/>
      <x:c r="J63" s="100" t="str">
        <x:v>完了</x:v>
      </x:c>
      <x:c r="K63" s="100" t="n">
        <x:f>'02_進捗一覧'!B10</x:f>
        <x:v>0</x:v>
      </x:c>
      <x:c r="L63" s="54"/>
      <x:c r="M63" s="54"/>
      <x:c r="N63" s="54"/>
    </x:row>
    <x:row r="64" ht="26" customHeight="1">
      <x:c r="A64" s="100" t="n">
        <x:f>'12_年度別計画'!A7</x:f>
        <x:v>2027</x:v>
      </x:c>
      <x:c r="B64" s="100" t="n">
        <x:f>'12_年度別計画'!B7</x:f>
        <x:v>1080</x:v>
      </x:c>
      <x:c r="C64" s="54"/>
      <x:c r="D64" s="100" t="str">
        <x:f>'10_KSF'!A7</x:f>
        <x:v>臨床・運用・経営価値</x:v>
      </x:c>
      <x:c r="E64" s="100" t="n">
        <x:f>'10_KSF'!D7</x:f>
        <x:v>3</x:v>
      </x:c>
      <x:c r="F64" s="54"/>
      <x:c r="G64" s="100" t="str">
        <x:f>'13_営業ファネル'!A7</x:f>
        <x:v>課題確認</x:v>
      </x:c>
      <x:c r="H64" s="100" t="n">
        <x:f>'13_営業ファネル'!B7</x:f>
        <x:v>320</x:v>
      </x:c>
      <x:c r="I64" s="54"/>
      <x:c r="J64" s="100" t="str">
        <x:v>未完了</x:v>
      </x:c>
      <x:c r="K64" s="100" t="n">
        <x:f>MAX(0,12-K63)</x:f>
        <x:v>12</x:v>
      </x:c>
      <x:c r="L64" s="54"/>
      <x:c r="M64" s="54"/>
      <x:c r="N64" s="54"/>
    </x:row>
    <x:row r="65" ht="26" customHeight="1">
      <x:c r="A65" s="100" t="n">
        <x:f>'12_年度別計画'!A8</x:f>
        <x:v>2028</x:v>
      </x:c>
      <x:c r="B65" s="100" t="n">
        <x:f>'12_年度別計画'!B8</x:f>
        <x:v>1180</x:v>
      </x:c>
      <x:c r="C65" s="54"/>
      <x:c r="D65" s="100" t="str">
        <x:f>'10_KSF'!A8</x:f>
        <x:v>商談化プロセス</x:v>
      </x:c>
      <x:c r="E65" s="100" t="n">
        <x:f>'10_KSF'!D8</x:f>
        <x:v>2</x:v>
      </x:c>
      <x:c r="F65" s="54"/>
      <x:c r="G65" s="100" t="str">
        <x:f>'13_営業ファネル'!A8</x:f>
        <x:v>有効商談</x:v>
      </x:c>
      <x:c r="H65" s="100" t="n">
        <x:f>'13_営業ファネル'!B8</x:f>
        <x:v>160</x:v>
      </x:c>
      <x:c r="I65" s="54"/>
      <x:c r="J65" s="54"/>
      <x:c r="K65" s="54"/>
      <x:c r="L65" s="54"/>
      <x:c r="M65" s="54"/>
      <x:c r="N65" s="54"/>
    </x:row>
    <x:row r="66" ht="26" customHeight="1">
      <x:c r="A66" s="100" t="n">
        <x:f>'12_年度別計画'!A9</x:f>
        <x:v>2029</x:v>
      </x:c>
      <x:c r="B66" s="100" t="n">
        <x:f>'12_年度別計画'!B9</x:f>
        <x:v>1300</x:v>
      </x:c>
      <x:c r="C66" s="54"/>
      <x:c r="D66" s="100" t="str">
        <x:f>'10_KSF'!A9</x:f>
        <x:v>サービス・導入後支援</x:v>
      </x:c>
      <x:c r="E66" s="100" t="n">
        <x:f>'10_KSF'!D9</x:f>
        <x:v>1</x:v>
      </x:c>
      <x:c r="F66" s="54"/>
      <x:c r="G66" s="100" t="str">
        <x:f>'13_営業ファネル'!A9</x:f>
        <x:v>デモ</x:v>
      </x:c>
      <x:c r="H66" s="100" t="n">
        <x:f>'13_営業ファネル'!B9</x:f>
        <x:v>95</x:v>
      </x:c>
      <x:c r="I66" s="54"/>
      <x:c r="J66" s="54"/>
      <x:c r="K66" s="54"/>
      <x:c r="L66" s="54"/>
      <x:c r="M66" s="54"/>
      <x:c r="N66" s="54"/>
    </x:row>
    <x:row r="67" ht="26" customHeight="1">
      <x:c r="A67" s="100" t="n">
        <x:f>'12_年度別計画'!A10</x:f>
        <x:v>2030</x:v>
      </x:c>
      <x:c r="B67" s="100" t="n">
        <x:f>'12_年度別計画'!B10</x:f>
        <x:v>1420</x:v>
      </x:c>
      <x:c r="C67" s="54"/>
      <x:c r="D67" s="100" t="str">
        <x:f>'10_KSF'!A10</x:f>
        <x:v>部門横断の実行力</x:v>
      </x:c>
      <x:c r="E67" s="100" t="n">
        <x:f>'10_KSF'!D10</x:f>
        <x:v>3</x:v>
      </x:c>
      <x:c r="F67" s="54"/>
      <x:c r="G67" s="100" t="str">
        <x:f>'13_営業ファネル'!A10</x:f>
        <x:v>受注</x:v>
      </x:c>
      <x:c r="H67" s="100" t="n">
        <x:f>'13_営業ファネル'!B10</x:f>
        <x:v>40</x:v>
      </x:c>
      <x:c r="I67" s="54"/>
      <x:c r="J67" s="54"/>
      <x:c r="K67" s="54"/>
      <x:c r="L67" s="54"/>
      <x:c r="M67" s="54"/>
      <x:c r="N67" s="54"/>
    </x:row>
    <x:row r="68" ht="26" customHeight="1">
      <x:c r="A68" s="100"/>
      <x:c r="B68" s="100"/>
      <x:c r="C68" s="54"/>
      <x:c r="D68" s="100" t="str">
        <x:f>'10_KSF'!A11</x:f>
        <x:v>実験・改善の速度</x:v>
      </x:c>
      <x:c r="E68" s="100" t="n">
        <x:f>'10_KSF'!D11</x:f>
        <x:v>2</x:v>
      </x:c>
      <x:c r="F68" s="54"/>
      <x:c r="G68" s="100"/>
      <x:c r="H68" s="100"/>
      <x:c r="I68" s="54"/>
      <x:c r="J68" s="54"/>
      <x:c r="K68" s="54"/>
      <x:c r="L68" s="54"/>
      <x:c r="M68" s="54"/>
      <x:c r="N68" s="54"/>
    </x:row>
    <x:row r="69" ht="22" customHeight="1">
      <x:c r="A69" s="54"/>
      <x:c r="B69" s="54"/>
      <x:c r="C69" s="54"/>
      <x:c r="D69" s="54"/>
      <x:c r="E69" s="54"/>
      <x:c r="F69" s="54"/>
      <x:c r="G69" s="54"/>
      <x:c r="H69" s="54"/>
      <x:c r="I69" s="54"/>
      <x:c r="J69" s="54"/>
      <x:c r="K69" s="54"/>
      <x:c r="L69" s="54"/>
      <x:c r="M69" s="54"/>
      <x:c r="N69" s="54"/>
    </x:row>
    <x:row r="70" ht="22" customHeight="1">
      <x:c r="A70" s="54"/>
      <x:c r="B70" s="54"/>
      <x:c r="C70" s="54"/>
      <x:c r="D70" s="54"/>
      <x:c r="E70" s="54"/>
      <x:c r="F70" s="54"/>
      <x:c r="G70" s="54"/>
      <x:c r="H70" s="54"/>
      <x:c r="I70" s="54"/>
      <x:c r="J70" s="54"/>
      <x:c r="K70" s="54"/>
      <x:c r="L70" s="54"/>
      <x:c r="M70" s="54"/>
      <x:c r="N70" s="54"/>
    </x:row>
    <x:row r="71" ht="22" customHeight="1">
      <x:c r="A71" s="103" t="str">
        <x:v>凡例：本シートの売上・件数・スコアは架空の学習用例。医療機器業界の実測値、市場予測、特定企業の実績ではありません。</x:v>
      </x:c>
      <x:c r="B71" s="103"/>
      <x:c r="C71" s="103"/>
      <x:c r="D71" s="103"/>
      <x:c r="E71" s="103"/>
      <x:c r="F71" s="103"/>
      <x:c r="G71" s="103"/>
      <x:c r="H71" s="103"/>
      <x:c r="I71" s="103"/>
      <x:c r="J71" s="103"/>
      <x:c r="K71" s="103"/>
      <x:c r="L71" s="103"/>
      <x:c r="M71" s="103"/>
      <x:c r="N71" s="103"/>
    </x:row>
    <x:row r="72" ht="22" customHeight="1">
      <x:c r="A72" s="103"/>
      <x:c r="B72" s="103"/>
      <x:c r="C72" s="103"/>
      <x:c r="D72" s="103"/>
      <x:c r="E72" s="103"/>
      <x:c r="F72" s="103"/>
      <x:c r="G72" s="103"/>
      <x:c r="H72" s="103"/>
      <x:c r="I72" s="103"/>
      <x:c r="J72" s="103"/>
      <x:c r="K72" s="103"/>
      <x:c r="L72" s="103"/>
      <x:c r="M72" s="103"/>
      <x:c r="N72" s="103"/>
    </x:row>
    <x:row r="73" ht="22" customHeight="1">
      <x:c r="A73" s="54"/>
      <x:c r="B73" s="54"/>
      <x:c r="C73" s="54"/>
      <x:c r="D73" s="54"/>
      <x:c r="E73" s="54"/>
      <x:c r="F73" s="54"/>
      <x:c r="G73" s="54"/>
      <x:c r="H73" s="54"/>
      <x:c r="I73" s="54"/>
      <x:c r="J73" s="54"/>
      <x:c r="K73" s="54"/>
      <x:c r="L73" s="54"/>
      <x:c r="M73" s="54"/>
      <x:c r="N73" s="54"/>
    </x:row>
    <x:row r="74" ht="22" customHeight="1">
      <x:c r="A74" s="54"/>
      <x:c r="B74" s="54"/>
      <x:c r="C74" s="54"/>
      <x:c r="D74" s="54"/>
      <x:c r="E74" s="54"/>
      <x:c r="F74" s="54"/>
      <x:c r="G74" s="54"/>
      <x:c r="H74" s="54"/>
      <x:c r="I74" s="54"/>
      <x:c r="J74" s="54"/>
      <x:c r="K74" s="54"/>
      <x:c r="L74" s="54"/>
      <x:c r="M74" s="54"/>
      <x:c r="N74" s="54"/>
    </x:row>
    <x:row r="75" ht="22" customHeight="1">
      <x:c r="A75" s="107" t="str">
        <x:v>国内医療機器MKT参考  https://sinobu13-bpei.github.io/medical-intelligence/?v=20261022-yamagata&amp;utm_source=chatgpt.com</x:v>
      </x:c>
      <x:c r="B75" s="107"/>
      <x:c r="C75" s="107"/>
      <x:c r="D75" s="107"/>
      <x:c r="E75" s="107"/>
      <x:c r="F75" s="107"/>
      <x:c r="G75" s="107"/>
      <x:c r="H75" s="107"/>
      <x:c r="I75" s="107"/>
      <x:c r="J75" s="107"/>
      <x:c r="K75" s="107"/>
      <x:c r="L75" s="107"/>
      <x:c r="M75" s="107"/>
      <x:c r="N75" s="107"/>
    </x:row>
    <x:row r="76" ht="22" customHeight="1">
      <x:c r="A76" s="107"/>
      <x:c r="B76" s="107"/>
      <x:c r="C76" s="107"/>
      <x:c r="D76" s="107"/>
      <x:c r="E76" s="107"/>
      <x:c r="F76" s="107"/>
      <x:c r="G76" s="107"/>
      <x:c r="H76" s="107"/>
      <x:c r="I76" s="107"/>
      <x:c r="J76" s="107"/>
      <x:c r="K76" s="107"/>
      <x:c r="L76" s="107"/>
      <x:c r="M76" s="107"/>
      <x:c r="N76" s="107"/>
    </x:row>
    <x:row r="77" ht="22" customHeight="1">
      <x:c r="A77" s="54"/>
      <x:c r="B77" s="54"/>
      <x:c r="C77" s="54"/>
      <x:c r="D77" s="54"/>
      <x:c r="E77" s="54"/>
      <x:c r="F77" s="54"/>
      <x:c r="G77" s="54"/>
      <x:c r="H77" s="54"/>
      <x:c r="I77" s="54"/>
      <x:c r="J77" s="54"/>
      <x:c r="K77" s="54"/>
      <x:c r="L77" s="54"/>
      <x:c r="M77" s="54"/>
      <x:c r="N77" s="54"/>
    </x:row>
    <x:row r="78" ht="22" customHeight="1">
      <x:c r="A78" s="109" t="str">
        <x:v>編纂：DyRO推進課  松尾 武範   ｜   ビジネスパートナー戦略企画課  伊逹 浩一・山中 果菜実</x:v>
      </x:c>
      <x:c r="B78" s="109"/>
      <x:c r="C78" s="109"/>
      <x:c r="D78" s="109"/>
      <x:c r="E78" s="109"/>
      <x:c r="F78" s="109"/>
      <x:c r="G78" s="109"/>
      <x:c r="H78" s="109"/>
      <x:c r="I78" s="109"/>
      <x:c r="J78" s="109"/>
      <x:c r="K78" s="109"/>
      <x:c r="L78" s="109"/>
      <x:c r="M78" s="109"/>
      <x:c r="N78" s="109"/>
    </x:row>
    <x:row r="79" ht="22" customHeight="1">
      <x:c r="A79" s="109"/>
      <x:c r="B79" s="109"/>
      <x:c r="C79" s="109"/>
      <x:c r="D79" s="109"/>
      <x:c r="E79" s="109"/>
      <x:c r="F79" s="109"/>
      <x:c r="G79" s="109"/>
      <x:c r="H79" s="109"/>
      <x:c r="I79" s="109"/>
      <x:c r="J79" s="109"/>
      <x:c r="K79" s="109"/>
      <x:c r="L79" s="109"/>
      <x:c r="M79" s="109"/>
      <x:c r="N79" s="109"/>
    </x:row>
    <x:row r="80" ht="22" customHeight="1">
      <x:c r="A80" s="54"/>
      <x:c r="B80" s="54"/>
      <x:c r="C80" s="54"/>
      <x:c r="D80" s="54"/>
      <x:c r="E80" s="54"/>
      <x:c r="F80" s="54"/>
      <x:c r="G80" s="54"/>
      <x:c r="H80" s="54"/>
      <x:c r="I80" s="54"/>
      <x:c r="J80" s="54"/>
      <x:c r="K80" s="54"/>
      <x:c r="L80" s="54"/>
      <x:c r="M80" s="54"/>
      <x:c r="N80" s="54"/>
    </x:row>
    <x:row r="81" ht="22" customHeight="1">
      <x:c r="A81" s="54"/>
      <x:c r="B81" s="54"/>
      <x:c r="C81" s="54"/>
      <x:c r="D81" s="54"/>
      <x:c r="E81" s="54"/>
      <x:c r="F81" s="54"/>
      <x:c r="G81" s="54"/>
      <x:c r="H81" s="54"/>
      <x:c r="I81" s="54"/>
      <x:c r="J81" s="54"/>
      <x:c r="K81" s="54"/>
      <x:c r="L81" s="54"/>
      <x:c r="M81" s="54"/>
      <x:c r="N81" s="54"/>
    </x:row>
    <x:row r="82" ht="22" customHeight="1">
      <x:c r="A82" s="54"/>
      <x:c r="B82" s="54"/>
      <x:c r="C82" s="54"/>
      <x:c r="D82" s="54"/>
      <x:c r="E82" s="54"/>
      <x:c r="F82" s="54"/>
      <x:c r="G82" s="54"/>
      <x:c r="H82" s="54"/>
      <x:c r="I82" s="54"/>
      <x:c r="J82" s="54"/>
      <x:c r="K82" s="54"/>
      <x:c r="L82" s="54"/>
      <x:c r="M82" s="54"/>
      <x:c r="N82" s="54"/>
    </x:row>
  </x:sheetData>
  <x:mergeCells>
    <x:mergeCell ref="A1:N3"/>
    <x:mergeCell ref="A4:N5"/>
    <x:mergeCell ref="A7:C7"/>
    <x:mergeCell ref="A8:C10"/>
    <x:mergeCell ref="D7:F7"/>
    <x:mergeCell ref="D8:F10"/>
    <x:mergeCell ref="G7:I7"/>
    <x:mergeCell ref="G8:I10"/>
    <x:mergeCell ref="J7:L7"/>
    <x:mergeCell ref="J8:L10"/>
    <x:mergeCell ref="A13:G14"/>
    <x:mergeCell ref="H13:N14"/>
    <x:mergeCell ref="A36:G37"/>
    <x:mergeCell ref="H36:N37"/>
    <x:mergeCell ref="A59:N60"/>
    <x:mergeCell ref="A71:N72"/>
    <x:mergeCell ref="A75:N76"/>
    <x:mergeCell ref="A78:N79"/>
  </x:mergeCells>
  <x:conditionalFormatting sqref="E63:E68">
    <x:cfRule type="dataBar" priority="1">
      <x:dataBar>
        <x:cfvo type="min"/>
        <x:cfvo type="max"/>
        <x:color rgb="FFE7767D"/>
      </x:dataBar>
      <x:extLst>
        <x:ext xmlns:x14="http://schemas.microsoft.com/office/spreadsheetml/2009/9/main" uri="{B025F937-C7B1-47D3-B67F-A62EFF666E3E}">
          <x14:id>{AC06932D-913D-6F6F-51A2-BD9D112D0BC7}</x14:id>
        </x:ext>
      </x:extLst>
    </x:cfRule>
  </x:conditionalFormatting>
  <x:conditionalFormatting sqref="B63:B67">
    <x:cfRule type="dataBar" priority="2">
      <x:dataBar>
        <x:cfvo type="min"/>
        <x:cfvo type="max"/>
        <x:color rgb="FF2877E2"/>
      </x:dataBar>
      <x:extLst>
        <x:ext xmlns:x14="http://schemas.microsoft.com/office/spreadsheetml/2009/9/main" uri="{B025F937-C7B1-47D3-B67F-A62EFF666E3E}">
          <x14:id>{135E03B4-8EE1-FA04-1593-0788FE121C6A}</x14:id>
        </x:ext>
      </x:extLst>
    </x:cfRule>
  </x:conditionalFormatting>
  <x:pageMargins left="0.7" right="0.7" top="0.75" bottom="0.75" header="0.3" footer="0.3"/>
  <x:drawing xmlns:r="http://schemas.openxmlformats.org/officeDocument/2006/relationships" r:id="R85430a97dd06461d"/>
  <x:extLst>
    <x:ext xmlns:x14="http://schemas.microsoft.com/office/spreadsheetml/2009/9/main" xmlns:xm="http://schemas.microsoft.com/office/excel/2006/main" uri="{78C0D931-6437-407d-A8EE-F0AAD7539E65}">
      <x14:conditionalFormattings>
        <x14:conditionalFormatting>
          <x14:cfRule type="dataBar" priority="1" id="{AC06932D-913D-6F6F-51A2-BD9D112D0BC7}">
            <x14:dataBar gradient="1">
              <x14:cfvo type="min"/>
              <x14:cfvo type="max"/>
              <x14:fillColor rgb="FFE7767D"/>
            </x14:dataBar>
          </x14:cfRule>
          <xm:sqref>E63:E68</xm:sqref>
        </x14:conditionalFormatting>
        <x14:conditionalFormatting>
          <x14:cfRule type="dataBar" priority="2" id="{135E03B4-8EE1-FA04-1593-0788FE121C6A}">
            <x14:dataBar gradient="1">
              <x14:cfvo type="min"/>
              <x14:cfvo type="max"/>
              <x14:fillColor rgb="FF2877E2"/>
            </x14:dataBar>
          </x14:cfRule>
          <xm:sqref>B63:B67</xm:sqref>
        </x14:conditionalFormatting>
      </x14:conditionalFormattings>
    </x:ext>
  </x:extLst>
</x:worksheet>
</file>